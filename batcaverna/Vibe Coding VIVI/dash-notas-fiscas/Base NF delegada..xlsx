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75"/>
  </bookViews>
  <sheets>
    <sheet name="BaseConsolidada" sheetId="1" r:id="rId1"/>
  </sheets>
  <calcPr calcId="144525"/>
</workbook>
</file>

<file path=xl/sharedStrings.xml><?xml version="1.0" encoding="utf-8"?>
<sst xmlns="http://schemas.openxmlformats.org/spreadsheetml/2006/main" count="7891" uniqueCount="646">
  <si>
    <t>Dim_CentroCusto[Centro Custo]</t>
  </si>
  <si>
    <t>Dim_Estrutura[5 Cta Contábil Abrev]</t>
  </si>
  <si>
    <t>Dim_Iniciativa[6 Iniciativa]</t>
  </si>
  <si>
    <t>Dim_Cenario[Nome Cenario]</t>
  </si>
  <si>
    <t>Dim_Calendario[Ano]</t>
  </si>
  <si>
    <t>Dim_Calendario[Trim]</t>
  </si>
  <si>
    <t>Dim_Calendario[Mês]</t>
  </si>
  <si>
    <t>Dim_Calendario[Mes.num]</t>
  </si>
  <si>
    <t>[Valores_cenario]</t>
  </si>
  <si>
    <t>Ciclo</t>
  </si>
  <si>
    <t>Dim_Calendario[Data]</t>
  </si>
  <si>
    <t>Fato_Realizado[Cod OC]</t>
  </si>
  <si>
    <t>Fato_Realizado[Lançamento]</t>
  </si>
  <si>
    <t>INIC Atual</t>
  </si>
  <si>
    <t>Revisado</t>
  </si>
  <si>
    <t>Realizado</t>
  </si>
  <si>
    <t>observação</t>
  </si>
  <si>
    <t>5210000 - GPD</t>
  </si>
  <si>
    <t>2133 - Serviço de Terceiros - Consultoria Administrativa</t>
  </si>
  <si>
    <t>50003 - Pesquisa de Clima Organizacional</t>
  </si>
  <si>
    <t>INIC atual</t>
  </si>
  <si>
    <t>Trim 4</t>
  </si>
  <si>
    <t>out</t>
  </si>
  <si>
    <t>Ciclo 22-24</t>
  </si>
  <si>
    <t>nov</t>
  </si>
  <si>
    <t>Trim 1</t>
  </si>
  <si>
    <t>fev</t>
  </si>
  <si>
    <t>Trim 2</t>
  </si>
  <si>
    <t>abr</t>
  </si>
  <si>
    <t>jun</t>
  </si>
  <si>
    <t>Trim 3</t>
  </si>
  <si>
    <t>ago</t>
  </si>
  <si>
    <t>dez</t>
  </si>
  <si>
    <t>Ciclo 25-27</t>
  </si>
  <si>
    <t>y</t>
  </si>
  <si>
    <t>jan</t>
  </si>
  <si>
    <t>Ciclo 19-21</t>
  </si>
  <si>
    <t>50213 - Recrutamento &amp; Seleção/Hunting e Avaliações Comportamentais/Atitudinais: vagas efetivas (executivas + vagas especializadas/críticas e PCD) CONSTRUIR - Trainee: Desenvolv de questões testes on line e Set-up, Correções de Redações e Teste</t>
  </si>
  <si>
    <t>mar</t>
  </si>
  <si>
    <t>mai</t>
  </si>
  <si>
    <t>jul</t>
  </si>
  <si>
    <t>set</t>
  </si>
  <si>
    <t>OC_0004201</t>
  </si>
  <si>
    <t>Passivo, NF: 00034911R , Fornecedor: SOLIDES TECNOLOGIA S/A</t>
  </si>
  <si>
    <t>GPD-CT-150/20</t>
  </si>
  <si>
    <t>Recebimento Físico - Valor conforme NF. 00004767  /UN referente E HUNTER</t>
  </si>
  <si>
    <t>OC_0002702</t>
  </si>
  <si>
    <t>Passivo, NF: 00005000 , Fornecedor: FUNDACAO COMITE DE GESTAO EMPRESARIAL- FUNDACAO COGE</t>
  </si>
  <si>
    <t>GPD-CS-022/18</t>
  </si>
  <si>
    <t>Recebimento Físico - Valor conforme NF. 00001134  /UN referente GRAFIA</t>
  </si>
  <si>
    <t/>
  </si>
  <si>
    <t>Provisao de Servicos Prestados NF: Fornecedor: GRAFIA , OC_0001445</t>
  </si>
  <si>
    <t>OC_0001445</t>
  </si>
  <si>
    <t>Item Despesa, NF: 00001244 , Fornecedor: GRAFIA QUALIDADE HUMANA S C LTDA EPP</t>
  </si>
  <si>
    <t>GPD-CS-035/19</t>
  </si>
  <si>
    <t>Recebimento Físico - Valor conforme NF. 00006930  /UN referente KESEBERG</t>
  </si>
  <si>
    <t>GPD-CS-012/19</t>
  </si>
  <si>
    <t>Recebimento Físico - Valor conforme NF. 00003629  /UN referente CLAVE</t>
  </si>
  <si>
    <t>Imposto retido na fonte, NF: 00001265 , Fornecedor: GRAFIA QUALIDADE HUMANA S C LTDA EPP</t>
  </si>
  <si>
    <t>Passivo, NF: 00005003 , Fornecedor: FUNDACAO COMITE DE GESTAO EMPRESARIAL- FUNDACAO COGE</t>
  </si>
  <si>
    <t>OC_0011383</t>
  </si>
  <si>
    <t>Item Despesa, NF: 00000040 , Fornecedor: K2 STAFFING SOLUTIONS DO BRASIL CONSULTORIA E SERVICOS LTDA</t>
  </si>
  <si>
    <t>Estorno Recebimento Físico - Estorno conforme NF 00010488  /UN referente PERSONALE</t>
  </si>
  <si>
    <t>OC_0015086</t>
  </si>
  <si>
    <t>Item Despesa, NF: 00000458 , Fornecedor: K2 STAFFING SOLUTIONS DO BRASIL CONSULTORIA E SERVICOS LTDA</t>
  </si>
  <si>
    <t>Item Despesa, NF: 00001258 , Fornecedor: GRAFIA QUALIDADE HUMANA S C LTDA EPP</t>
  </si>
  <si>
    <t>OC_0003217</t>
  </si>
  <si>
    <t>Item Despesa, NF: 00002601 , Fornecedor: INTERA TALENT HACKING RECRUTAMENTO LTDA</t>
  </si>
  <si>
    <t>Item Despesa, NF: 00002678 , Fornecedor: INTERA TALENT HACKING RECRUTAMENTO LTDA</t>
  </si>
  <si>
    <t>Recebimento Físico - Valor conforme NF. 00006963  /UN referente KESEBERG</t>
  </si>
  <si>
    <t>OC_0005409</t>
  </si>
  <si>
    <t>Item Despesa, NF: 00002887 , Fornecedor: INTERA TALENT HACKING RECRUTAMENTO LTDA</t>
  </si>
  <si>
    <t>OC_0009764</t>
  </si>
  <si>
    <t>Item Despesa, NF: 00003127 , Fornecedor: INTERA TALENT HACKING RECRUTAMENTO LTDA</t>
  </si>
  <si>
    <t>Recebimento Físico - Valor conforme NF. 00001086  /UN referente GRAFIA</t>
  </si>
  <si>
    <t>Provisao de Servicos Prestados NF: Fornecedor: MIRIAM S ADISSI CONSULTORIA EM RECURSOS HUMANOS LTDA , OC_0001171</t>
  </si>
  <si>
    <t>OC_0001171</t>
  </si>
  <si>
    <t>Item Despesa, NF: 0003940RR , Fornecedor: MIRIAM S ADISSI CONSULTORIA EM RECURSOS HUMANOS LTDA</t>
  </si>
  <si>
    <t>OC_0013132</t>
  </si>
  <si>
    <t>Item Despesa, NF: 00000424 , Fornecedor: K2 STAFFING SOLUTIONS DO BRASIL CONSULTORIA E SERVICOS LTDA</t>
  </si>
  <si>
    <t>Item Despesa, NF: 00016107 , Fornecedor: PERSONALE CONSULTORIA E TREINAMENTO LTDA</t>
  </si>
  <si>
    <t>Recebimento Físico - Valor conforme NF. 00006920  /UN referente KESEBERG</t>
  </si>
  <si>
    <t>OC_0002495</t>
  </si>
  <si>
    <t>Item Despesa, NF: 00000213 , Fornecedor: HARPIA HUMAN CAPITAL CONSULTORIA LTDA</t>
  </si>
  <si>
    <t>Item Despesa, NF: 00000225 , Fornecedor: HARPIA HUMAN CAPITAL CONSULTORIA LTDA</t>
  </si>
  <si>
    <t>GPD-CS-069/19</t>
  </si>
  <si>
    <t>Recebimento Físico - Valor conforme NF. 00000800  /UN referente RESCH</t>
  </si>
  <si>
    <t>Recebimento Físico - Valor conforme NF. 00000801  /UN referente RESCH</t>
  </si>
  <si>
    <t>Item Despesa, NF: 00000258 , Fornecedor: HARPIA HUMAN CAPITAL CONSULTORIA LTDA</t>
  </si>
  <si>
    <t>Item Despesa, NF: 00001251 , Fornecedor: GRAFIA QUALIDADE HUMANA S C LTDA EPP</t>
  </si>
  <si>
    <t>GPD-CT-034/20</t>
  </si>
  <si>
    <t>Item Despesa, NF: 00004544 , Fornecedor: FUND COMITE DE GESTAO EMPRESARIAL</t>
  </si>
  <si>
    <t>9360 - Tributos - Outros Tributos</t>
  </si>
  <si>
    <t>NF: 78112639205 CIDE , Fornecedor: MINISTERIO DA FAZENDA</t>
  </si>
  <si>
    <t>OC_0006303</t>
  </si>
  <si>
    <t>Item Despesa, NF: 00000509 , Fornecedor: PCDMAIS SOLUCOES EM INCLUSAO COM QUALIDADE LTDA</t>
  </si>
  <si>
    <t>50317 - Avaliação de Desempenho dos Conselhos de Administração e Fiscal e de Diretoria</t>
  </si>
  <si>
    <t>5220000 - GPA</t>
  </si>
  <si>
    <t>50217 - Vida &amp; Carreira</t>
  </si>
  <si>
    <t>51259 - Revisão do Dimensionamento Qualiquantitativo</t>
  </si>
  <si>
    <t>OC_0000303</t>
  </si>
  <si>
    <t>Imposto retido na fonte, NF: 00001210 , Fornecedor: GRAFIA QUALIDADE HUMANA S C LTDA EPP</t>
  </si>
  <si>
    <t>OC_0014837</t>
  </si>
  <si>
    <t>Item Despesa, NF: 00000752 , Fornecedor: PCDMAIS SOLUCOES EM INCLUSAO COM QUALIDADE LTDA</t>
  </si>
  <si>
    <t>Recebimento Físico - Valor conforme NF. 00001098  /UN referente GRAFIA</t>
  </si>
  <si>
    <t>Item Despesa, NF: 00001236 , Fornecedor: GRAFIA QUALIDADE HUMANA S C LTDA EPP</t>
  </si>
  <si>
    <t>OC_0001265</t>
  </si>
  <si>
    <t>Item Despesa, NF: 00005143 , Fornecedor: SEARCH CONSULTORIA EM RECURSOS HUMANOS LTDA</t>
  </si>
  <si>
    <t>Recebimento Físico - Valor conforme NF. 00001111  /UN referente GRAFIA</t>
  </si>
  <si>
    <t>GPD-CS-017/19</t>
  </si>
  <si>
    <t>Estorno Recebimento Físico - Estorno conforme NF 00000263  /UN referente PSD</t>
  </si>
  <si>
    <t>Recebimento Físico - Valor conforme NF. 00000263  /UN referente PSD</t>
  </si>
  <si>
    <t>Imposto retido na fonte, NF: 00005228 , Fornecedor: SEARCH CONSULTORIA EM RECURSOS HUMANOS LTDA</t>
  </si>
  <si>
    <t>Item Despesa, NF: 00004984 , Fornecedor: FUNDACAO COMITE DE GESTAO EMPRESARIAL- FUNDACAO COGE</t>
  </si>
  <si>
    <t>OC_0006414</t>
  </si>
  <si>
    <t>Passivo, NF: 00005085 , Fornecedor: FUNDACAO COMITE DE GESTAO EMPRESARIAL- FUNDACAO COGE</t>
  </si>
  <si>
    <t>NF: 78112186925 COFINS , Fornecedor: MINISTERIO DA FAZENDA</t>
  </si>
  <si>
    <t>GPD-CT-046/20</t>
  </si>
  <si>
    <t>Recebimento Físico - Valor conforme NF. 00003250  /UN referente REVELO</t>
  </si>
  <si>
    <t>Recebimento Físico - Valor conforme NF. 00003596  /UN referente CLAVE</t>
  </si>
  <si>
    <t>OC_0010794</t>
  </si>
  <si>
    <t>Item Despesa, NF: 00000394 , Fornecedor: K2 STAFFING SOLUTIONS DO BRASIL CONSULTORIA E SERVICOS LTDA</t>
  </si>
  <si>
    <t>OC_0001453</t>
  </si>
  <si>
    <t>Item Despesa, NF: 00004625 , Fornecedor: FUND COMITE DE GESTAO EMPRESARIAL</t>
  </si>
  <si>
    <t>NF: 78111360808 COFINS , Fornecedor: MINISTERIO DA ECONOMIA</t>
  </si>
  <si>
    <t>NF: 78111761538R COFINS , Fornecedor: MINISTERIO DA FAZENDA</t>
  </si>
  <si>
    <t>NF: 78112639205 COFINS , Fornecedor: MINISTERIO DA FAZENDA</t>
  </si>
  <si>
    <t>GPD-CS-130/19</t>
  </si>
  <si>
    <t>Recebimento Físico - Valor conforme NF. 00002435  /UN referente FESA</t>
  </si>
  <si>
    <t>Item Despesa, NF: 00001270 , Fornecedor: GRAFIA QUALIDADE HUMANA S C LTDA EPP</t>
  </si>
  <si>
    <t>Passivo, NF: 00004461 , Fornecedor: CLAVE CONSULTORIA LTDA</t>
  </si>
  <si>
    <t>NF: 78112186925 CIDE , Fornecedor: MINISTERIO DA FAZENDA</t>
  </si>
  <si>
    <t>Recebimento Físico - Valor conforme NF. 00003739  /UN referente CLAVE</t>
  </si>
  <si>
    <t>NF: 78111360808 CIDE , Fornecedor: MINISTERIO DA ECONOMIA</t>
  </si>
  <si>
    <t>NF: 78111761538R CIDE , Fornecedor: MINISTERIO DA FAZENDA</t>
  </si>
  <si>
    <t>Item Despesa, NF: 00001193 , Fornecedor: GRAFIA QUALIDADE HUMANA S C LTDA EPP</t>
  </si>
  <si>
    <t>Item Despesa, NF: 00001217 , Fornecedor: GRAFIA QUALIDADE HUMANA S C LTDA EPP</t>
  </si>
  <si>
    <t>Recebimento Físico - Valor conforme NF. 00001097  /UN referente GRAFIA</t>
  </si>
  <si>
    <t>Recebimento Físico - Valor conforme NF. 00001119  /UN referente GRAFIA</t>
  </si>
  <si>
    <t>Recebimento Físico - Valor conforme NF. 00000237  /UN referente E HUNTER</t>
  </si>
  <si>
    <t>Recebimento Físico - Valor conforme NF. 00000278  /UN referente PSD</t>
  </si>
  <si>
    <t>Imposto retido na fonte, NF: 00002545 , Fornecedor: FESAP CONSULTORES EM RECURSOS HUMANOS RE</t>
  </si>
  <si>
    <t>OC_0000230</t>
  </si>
  <si>
    <t>Item Despesa, NF: 00004172 , Fornecedor: CONTRATADO TECNOLOGIA LTDA</t>
  </si>
  <si>
    <t>GPD-CT-014/20</t>
  </si>
  <si>
    <t>Recebimento Físico - Valor conforme NF. 00004734  /UN referente E-HUNTER</t>
  </si>
  <si>
    <t>Item Despesa, NF: 00001185 , Fornecedor: GRAFIA QUALIDADE HUMANA S C LTDA EPP</t>
  </si>
  <si>
    <t>Imposto retido na fonte, NF: 00001229 , Fornecedor: GRAFIA QUALIDADE HUMANA S C LTDA EPP</t>
  </si>
  <si>
    <t>OC_0001978</t>
  </si>
  <si>
    <t>Item Despesa, NF: 00000188 , Fornecedor: FLUENGLISH PROFICIENCIA DE IDIOMAS LTDA</t>
  </si>
  <si>
    <t>Item Despesa, NF: 00004505 , Fornecedor: FUND COMITE DE GESTAO EMPRESARIAL</t>
  </si>
  <si>
    <t>5240000 - GPP</t>
  </si>
  <si>
    <t>1200000 - CS</t>
  </si>
  <si>
    <t>Item Despesa, NF: 00014303 , Fornecedor: PERSONALE CONSULTORIA E TREINAMENTO LTDA</t>
  </si>
  <si>
    <t>Recebimento Físico - Valor conforme NF. 00001063  /UN referente GRAFIA</t>
  </si>
  <si>
    <t>Recebimento Físico - Valor conforme NF. 00001137  /UN referente GRAFIA</t>
  </si>
  <si>
    <t>Recebimento Físico - Valor conforme NF. 00001140  /UN referente GRAFIA</t>
  </si>
  <si>
    <t>Balanceamento de moeda estrangeira Perda, NF: 78111761538R , Fornecedor: LINKEDIN IRLAND UNLIMITED COMPANY</t>
  </si>
  <si>
    <t>NF: 78112186925 ISS , Fornecedor: PREFEITURA DA CIDADE DO RIO DE JANEIRO</t>
  </si>
  <si>
    <t>OC_0003047</t>
  </si>
  <si>
    <t>Item Despesa, NF: 00000186 , Fornecedor: MARANGON ENGENHARIA LTDA EPP</t>
  </si>
  <si>
    <t>Recebimento Físico - Valor conforme NF. 00017007  /UN referente PIERON</t>
  </si>
  <si>
    <t>Recebimento Físico - Valor conforme NF. 00017033  /UN referente PIERON</t>
  </si>
  <si>
    <t>Recebimento Físico - Valor conforme NF. 00003545  /UN referente CLAVE</t>
  </si>
  <si>
    <t>OC_0003684</t>
  </si>
  <si>
    <t>Item Despesa, NF: 00000460 , Fornecedor: PCDMAIS SOLUCOES EM INCLUSAO COM QUALIDADE LTDA</t>
  </si>
  <si>
    <t>OC_0002005</t>
  </si>
  <si>
    <t>Item Despesa, NF: 00001757 , Fornecedor: TAQE CAPACITACAO, TECNOLOGIA E RECRUTAMENTO S.A.</t>
  </si>
  <si>
    <t>NF: 78112639205 ISS* , Fornecedor: PREFEITURA DA CIDADE DO RIO DE JANEIRO</t>
  </si>
  <si>
    <t>Recebimento Físico - Valor conforme NF. 00003606  /UN referente CLAVE</t>
  </si>
  <si>
    <t>Item Despesa, NF: 00004563 , Fornecedor: FUND COMITE DE GESTAO EMPRESARIAL</t>
  </si>
  <si>
    <t>OC_0001004</t>
  </si>
  <si>
    <t>Item Despesa, NF: 00012289 , Fornecedor: PERSONALE CONSULTORIA E TREINAMENTO LTDA</t>
  </si>
  <si>
    <t>NF: 78111360808 ISS , Fornecedor: PREFEITURA DA CIDADE DO RIO DE JANEIRO</t>
  </si>
  <si>
    <t>Item Despesa, NF: 00004546 , Fornecedor: FUND COMITE DE GESTAO EMPRESARIAL</t>
  </si>
  <si>
    <t>NF: 78111761538R ISS , Fornecedor: PREFEITURA DA CIDADE DO RIO DE JANEIRO</t>
  </si>
  <si>
    <t>Recebimento Físico - Valor conforme NF. 00001052  /UN referente GRAFIA</t>
  </si>
  <si>
    <t>Recebimento Físico - Valor conforme NF. 00001144  /UN referente GRAFIA</t>
  </si>
  <si>
    <t>Imposto retido na fonte, NF: 00001223R , Fornecedor: GRAFIA QUALIDADE HUMANA S C LTDA EPP</t>
  </si>
  <si>
    <t>Recebimento Físico - Valor conforme NF. 00001124  /UN referente GRAFIA</t>
  </si>
  <si>
    <t>1400000 - RG</t>
  </si>
  <si>
    <t>50361 - Consultoria para prestação de serviços de assessment com análise de gaps e proposta de adequação do ambiente corporativo em relação à implantação da Lei Geral de Proteção de Dados Pessoais (LGPD)</t>
  </si>
  <si>
    <t>Recebimento Físico - Valor conforme NF. 00001128  /UN referente GRAFIA</t>
  </si>
  <si>
    <t>OC_0000346</t>
  </si>
  <si>
    <t>Imposto retido na fonte, NF: 00001179 , Fornecedor: GRAFIA QUALIDADE HUMANA S C LTDA EPP</t>
  </si>
  <si>
    <t>Passivo, NF: 00001198 , Fornecedor: GRAFIA QUALIDADE HUMANA S C LTDA EPP</t>
  </si>
  <si>
    <t>OC_0007917</t>
  </si>
  <si>
    <t>Item Despesa, NF: 00015454 , Fornecedor: PERSONALE CONSULTORIA E TREINAMENTO LTDA</t>
  </si>
  <si>
    <t>Recebimento Físico - Valor conforme NF. 00001037  /UN referente GRAFIA</t>
  </si>
  <si>
    <t>Recebimento Físico - Valor conforme NF. 00001080  /UN referente GRAFIA</t>
  </si>
  <si>
    <t>OC_0003699</t>
  </si>
  <si>
    <t>Item Despesa, NF: 00014291 , Fornecedor: PERSONALE CONSULTORIA E TREINAMENTO LTDA</t>
  </si>
  <si>
    <t>Recebimento Físico - Valor conforme NF. 00016864  /UN referente PIERON</t>
  </si>
  <si>
    <t>Recebimento Físico - Valor conforme NF. 00016885  /UN referente PIERON</t>
  </si>
  <si>
    <t>Recebimento Físico - Valor conforme NF. 00016912  /UN referente PIERON</t>
  </si>
  <si>
    <t>OC_0002979</t>
  </si>
  <si>
    <t>Imposto retido na fonte, NF: 00013684 , Fornecedor: PERSONALE CONSULTORIA E TREINAMENTO LTDA</t>
  </si>
  <si>
    <t>Item Despesa, NF: 00004894 , Fornecedor: E-HUNTER TECNOLOGIA DA INFORMAÇÃO LTDA</t>
  </si>
  <si>
    <t>Recebimento Físico - Valor conforme NF. 00001148  /UN referente GRAFIA</t>
  </si>
  <si>
    <t>Recebimento Físico - Valor conforme NF. 00001131  /UN referente GRAFIA</t>
  </si>
  <si>
    <t>Recebimento Físico - Valor conforme NF. 00016933  /UN referente PIERON</t>
  </si>
  <si>
    <t>OC_0000864</t>
  </si>
  <si>
    <t>Passivo, NF: 00012155 , Fornecedor: PERSONALE CONSULTORIA E TREINAMENTO LTDA</t>
  </si>
  <si>
    <t>OC_0001176</t>
  </si>
  <si>
    <t>Item Despesa, NF: 00012374 , Fornecedor: PERSONALE CONSULTORIA E TREINAMENTO LTDA</t>
  </si>
  <si>
    <t>OC_0000600</t>
  </si>
  <si>
    <t>Item Despesa, NF: 00000001 , Fornecedor: INSTITUTO AB TREINAMENTO E CONSULTORIA PROFISSIONAL LTDA</t>
  </si>
  <si>
    <t>NF: 78112639205 IOF , Fornecedor: BANCO SANTANDER BRASIL SA</t>
  </si>
  <si>
    <t>Recebimento Físico - Valor conforme NF. 00010935  /UN referente PERSONALE</t>
  </si>
  <si>
    <t>Recebimento Físico - Valor conforme NF. 00010928  /UN referente PERSONALE</t>
  </si>
  <si>
    <t>50373 - Dimensionamento Qualitativo do quadro de funcionários</t>
  </si>
  <si>
    <t>RC-CT-021/18</t>
  </si>
  <si>
    <t>Recebimento Físico - Valor conforme NF. 00031401  /UN referente HAY</t>
  </si>
  <si>
    <t>GRH-CT-098/17</t>
  </si>
  <si>
    <t>Ajuste Contábil - Provisão de Serviços Prestados GRH-CT-098/17 Ref.01/19 LEE HECHT-001</t>
  </si>
  <si>
    <t>Ajuste Contábil - Reversão da Prov. Serv. Prest. GRH-CT-098/17 Ref.01/19 LEE HECHT-001</t>
  </si>
  <si>
    <t>Recebimento Físico - Valor conforme NF. 00003944  /A referente LEE HECHT</t>
  </si>
  <si>
    <t>Recebimento Físico - Valor conforme NF. 00003945  /A referente LEE HECHT</t>
  </si>
  <si>
    <t>Recebimento Físico - Valor conforme NF. 00003946  /UN referente LEE HECHT</t>
  </si>
  <si>
    <t>Recebimento Físico - Valor conforme NF. 00003960  /UN referente LEE HECHT</t>
  </si>
  <si>
    <t>Passivo, NF: 00005171 , Fornecedor: SEARCH CONSULTORIA EM RECURSOS HUMANOS LTDA</t>
  </si>
  <si>
    <t>Ajuste Contábil - Provisão de Serviços Prestados GRH-CT-098/17 Ref.02/19 LEE HECHT-001</t>
  </si>
  <si>
    <t>Ajuste Contábil - Reversão da Prov. Serv. Prest. GRH-CT-098/17 Ref.02/19 LEE HECHT-001</t>
  </si>
  <si>
    <t>Item Despesa, NF: 00001276 , Fornecedor: GRAFIA QUALIDADE HUMANA S C LTDA EPP</t>
  </si>
  <si>
    <t>Recebimento Físico - Valor conforme NF. 00000085  /UN referente CLAN</t>
  </si>
  <si>
    <t>Recebimento Físico - Valor conforme NF. 00003993  /UN referente LEE HECHT</t>
  </si>
  <si>
    <t>Recebimento Físico - Valor conforme NF. 00003994  /UN referente LEE HECHT</t>
  </si>
  <si>
    <t>Recebimento Físico - Valor conforme NF. 00003995  /UN referente LEE HECHT</t>
  </si>
  <si>
    <t>Estorno Recebimento Físico - Estorno conforme NF 00003992  /UN referente LEE HECHT</t>
  </si>
  <si>
    <t>Recebimento Físico - Valor conforme NF. 00003992  /UN referente LEE HECHT</t>
  </si>
  <si>
    <t>OC_0004084</t>
  </si>
  <si>
    <t>Passivo, NF: 00014571 , Fornecedor: PERSONALE CONSULTORIA E TREINAMENTO LTDA</t>
  </si>
  <si>
    <t>Recebimento Físico - Valor conforme NF. 00031212  /UN referente HAY</t>
  </si>
  <si>
    <t>Estorno Recebimento Físico - Estorno conforme NF 00031212  /UN referente HAY</t>
  </si>
  <si>
    <t>Recebimento Físico - Valor conforme NF. 00031812  /UN referente HAY</t>
  </si>
  <si>
    <t>Recebimento Físico - Valor conforme NF. 00010936  /UN referente PERSONALE</t>
  </si>
  <si>
    <t>Recebimento Físico - Valor conforme NF. 00004051  /UN referente LEE HECHT</t>
  </si>
  <si>
    <t>Recebimento Físico - Valor conforme NF. 00004054  /UN referente LEE HECHT</t>
  </si>
  <si>
    <t>Passivo, NF: 00004716 , Fornecedor: FUND COMITE DE GESTAO EMPRESARIAL</t>
  </si>
  <si>
    <t>OC_0000189</t>
  </si>
  <si>
    <t>Item Despesa, NF: 00003465 , Fornecedor: ENGLISH HOUSE LANGUAGE STUDIES LTDA</t>
  </si>
  <si>
    <t>OC_0006441</t>
  </si>
  <si>
    <t>Item Despesa, NF: 00005086 , Fornecedor: FUNDACAO COMITE DE GESTAO EMPRESARIAL- FUNDACAO COGE</t>
  </si>
  <si>
    <t>Item Despesa, NF: 00001648R , Fornecedor: TAQE CAPACITACAO, TECNOLOGIA E RECRUTAMENTO S.A.</t>
  </si>
  <si>
    <t>OC_0002007</t>
  </si>
  <si>
    <t>Item Despesa, NF: 00000703 , Fornecedor: SEJA SEU POTENCIAL DESENVOLVIMENTO PROFISSIONAL LTDA</t>
  </si>
  <si>
    <t>OC_0002263</t>
  </si>
  <si>
    <t>Passivo, NF: 78111360808 , Fornecedor: LinkedIn Ireland Unlimited Company</t>
  </si>
  <si>
    <t>GPD-CS-160/18</t>
  </si>
  <si>
    <t>Recebimento Físico - Valor conforme NF. 00000155  /UN referente E-HUNTER</t>
  </si>
  <si>
    <t>Recebimento Físico - Valor conforme NF. 00001073  /UN referente GRAFIA</t>
  </si>
  <si>
    <t>Ajuste Manual FNCO, NF: 78112186925 , Fornecedor: LINKEDIN IRLAND UNLIMITED COMPANY</t>
  </si>
  <si>
    <t>Recebimento Físico - Valor conforme NF. 00004086  /UN referente LEE HECHT</t>
  </si>
  <si>
    <t>Recebimento Físico - Valor conforme NF. 00004087  /UN referente LEE HECHT</t>
  </si>
  <si>
    <t>OC_0002328</t>
  </si>
  <si>
    <t>Item Despesa, NF: 00002799 , Fornecedor: FESAP CONSULTORES EM RECURSOS HUMANOS RE</t>
  </si>
  <si>
    <t>OC_0002048</t>
  </si>
  <si>
    <t>Item Despesa, NF: 00000028 , Fornecedor: INSTITUTO AB TREINAMENTO E CONSULTORIA PROFISSIONAL LTDA</t>
  </si>
  <si>
    <t>OC_0002050</t>
  </si>
  <si>
    <t>Item Despesa, NF: 00000026 , Fornecedor: INSTITUTO AB TREINAMENTO E CONSULTORIA PROFISSIONAL LTDA</t>
  </si>
  <si>
    <t>Recebimento Físico - Valor conforme NF. 00004116  /UN referente LEE HECHT</t>
  </si>
  <si>
    <t>Recebimento Físico - Valor conforme NF. 00004117  /UN referente LEE HECHT</t>
  </si>
  <si>
    <t>Recebimento Físico - Valor conforme NF. 00004118  /UN referente LEE HECHT</t>
  </si>
  <si>
    <t>Recebimento Físico - Valor conforme NF. 00004119  /UN referente LEE HECHT</t>
  </si>
  <si>
    <t>OTC-CS-168/18</t>
  </si>
  <si>
    <t>Recebimento Físico - Valor conforme NF. 00000156  /UN referente E HUNTER</t>
  </si>
  <si>
    <t>Ajuste Contábil - Provisão de Serviços Prestados GRH-CT-098/17 Ref.07/19 LEE HECHT-001</t>
  </si>
  <si>
    <t>Ajuste Contábil - Reversão da Prov. Serv. Prest. GRH-CT-098/17 Ref.07/19 LEE HECHT-001</t>
  </si>
  <si>
    <t>Recebimento Físico - Valor conforme NF. 00004164  /UN referente LEE HECHT</t>
  </si>
  <si>
    <t>Recebimento Físico - Valor conforme NF. 00004165  /UN referente LEE HECHT</t>
  </si>
  <si>
    <t>Recebimento Físico - Valor conforme NF. 00004166  /UN referente LEE HECHT</t>
  </si>
  <si>
    <t>Recebimento Físico - Valor conforme NF. 00004167  /UN referente LEE HECHT</t>
  </si>
  <si>
    <t>Recebimento Físico - Valor conforme NF. 00004168  /UN referente LEE HECHT</t>
  </si>
  <si>
    <t>Recebimento Físico - Valor conforme NF. 00004169  /UN referente LEE HECHT</t>
  </si>
  <si>
    <t>Recebimento Físico - Valor conforme NF. 00004170  /UN referente LEE HECHT</t>
  </si>
  <si>
    <t>Recebimento Físico - Valor conforme NF. 00004171  /UN referente LEE HECHT</t>
  </si>
  <si>
    <t>Recebimento Físico - Valor conforme NF. 00004192  /UN referente LEE HECHT</t>
  </si>
  <si>
    <t>Imposto retido na fonte, NF: 00002813 , Fornecedor: FESAP CONSULTORES EM RECURSOS HUMANOS RE</t>
  </si>
  <si>
    <t>Recebimento Físico - Valor conforme NF. 00004239  /UN referente LEE HECHT</t>
  </si>
  <si>
    <t>Recebimento Físico - Valor conforme NF. 00004240  /UN referente LEE HECHT</t>
  </si>
  <si>
    <t>Recebimento Físico - Valor conforme NF. 00004241  /UN referente LEE HECHT</t>
  </si>
  <si>
    <t>Recebimento Físico - Valor conforme NF. 00004242  /UN referente LEE HECHT</t>
  </si>
  <si>
    <t>Prov. e Rev. Aut. NF - Provisao de Servicos Prestados GRH-CT-098/17 Ref.08/19 LEE HECHT-001</t>
  </si>
  <si>
    <t>Prov. e Rev. Aut. NF - Reversão da Prov. Serv. Prest. GRH-CT-098/17 Ref.08/19 LEE HECHT-001</t>
  </si>
  <si>
    <t>Provisao de Servicos Prestados NF: Fornecedor:  FUNCOGEOC_0001453</t>
  </si>
  <si>
    <t>Ajuste Contábil - Provisão de Serviços Prestados GRH-CT-098/17 Ref.09/19 LEE HECHT-001</t>
  </si>
  <si>
    <t>Ajuste Contábil - Reversão da Prov. Serv. Prest. GRH-CT-098/17 Ref.09/19 LEE HECHT-001</t>
  </si>
  <si>
    <t>OC_0002781</t>
  </si>
  <si>
    <t>Item Despesa, NF: 00013532 , Fornecedor: PERSONALE CONSULTORIA E TREINAMENTO LTDA</t>
  </si>
  <si>
    <t>Recebimento Físico - Valor conforme NF. 00004295  /UN referente LEE HECHT</t>
  </si>
  <si>
    <t>Recebimento Físico - Valor conforme NF. 00004296  /UN referente LEE HECHT</t>
  </si>
  <si>
    <t>Recebimento Físico - Valor conforme NF. 00004297  /UN referente LEE HECHT</t>
  </si>
  <si>
    <t>Item Despesa, NF: 00004799 , Fornecedor: FUNDACAO COMITE DE GESTAO EMPRESARIAL- FUNDACAO COGE</t>
  </si>
  <si>
    <t>OC_0000415</t>
  </si>
  <si>
    <t>Item Despesa, NF: 00001184 , Fornecedor: GRAFIA QUALIDADE HUMANA S C LTDA EPP</t>
  </si>
  <si>
    <t>Recebimento Físico - Valor conforme NF. 00004353  /UN referente LEE HECHT</t>
  </si>
  <si>
    <t>Recebimento Físico - Valor conforme NF. 00004354  /UN referente LEE HECHT</t>
  </si>
  <si>
    <t>Recebimento Físico - Valor conforme NF. 00004355  /UN referente LEE HECHT</t>
  </si>
  <si>
    <t>Item Despesa, NF: 00004804 , Fornecedor: FUNDACAO COMITE DE GESTAO EMPRESARIAL- FUNDACAO COGE</t>
  </si>
  <si>
    <t>Imposto retido na fonte, NF: 00001204 , Fornecedor: GRAFIA QUALIDADE HUMANA S C LTDA EPP</t>
  </si>
  <si>
    <t>Recebimento Físico - Valor conforme NF. 00004389  /UN referente LEE HECHT</t>
  </si>
  <si>
    <t>Recebimento Físico - Valor conforme NF. 00004390  /UN referente LEE HECHT</t>
  </si>
  <si>
    <t>Ajuste Contábil - Provisão de Serviços Prestados GRH-CT-098/17 Ref.11/19 LEE HECHT-001</t>
  </si>
  <si>
    <t>Reclassificação Orçamentária Item Despesa, NF: 00004625 , Fornecedor: FUND COMITE DE GESTAO EMPRESARIAL</t>
  </si>
  <si>
    <t>Reclassificação Orçamentária Item Despesa, NF: 00004716 , Fornecedor: FUND COMITE DE GESTAO EMPRESARIAL</t>
  </si>
  <si>
    <t>Reclassificação Orçamentária Item Despesa, NF: 00004804 , Fornecedor: FUNDACAO COMITE DE GESTAO EMPRESARIAL- FUNDACAO COGE</t>
  </si>
  <si>
    <t>GPD-CT-091/19</t>
  </si>
  <si>
    <t>Recebimento Físico - Valor conforme NF. 00076742  /UN referente ERNST</t>
  </si>
  <si>
    <t>Recebimento Físico - Valor conforme NF. 00000075  /UN referente CLAN</t>
  </si>
  <si>
    <t>Recebimento Físico - Valor conforme NF. 00004395  /UN referente LEE HECHT</t>
  </si>
  <si>
    <t>NF: 78112186925 PIS , Fornecedor: MINISTERIO DA FAZENDA</t>
  </si>
  <si>
    <t>Recebimento Físico - Valor conforme NF. 00077063  /UN referente ERNST</t>
  </si>
  <si>
    <t>Recebimento Físico - Valor conforme NF. 00001099  /UN referente GRAFIA</t>
  </si>
  <si>
    <t>Recebimento Físico - Valor conforme NF. 00016957  /UN referente PIERON</t>
  </si>
  <si>
    <t>NF: 78111360808 IRRF , Fornecedor: MINISTERIO DA ECONOMIA</t>
  </si>
  <si>
    <t>Recebimento Físico - Valor conforme NF. 00004406  /UN referente LEE HECHT</t>
  </si>
  <si>
    <t>Recebimento Físico - Valor conforme NF. 00004427  /UN referente LEE HECHT</t>
  </si>
  <si>
    <t>Recebimento Físico - Valor conforme NF. 00004430  /UN referente LEE HECHT</t>
  </si>
  <si>
    <t>Recebimento Físico - Valor conforme NF. 00004435  /UN referente LEE HECHT</t>
  </si>
  <si>
    <t>Recebimento Físico - Valor conforme NF. 00004438  /UN referente LEE HECHT</t>
  </si>
  <si>
    <t>NF: 78111360808 PIS , Fornecedor: MINISTERIO DA ECONOMIA</t>
  </si>
  <si>
    <t>NF: 78111761538R PIS , Fornecedor: MINISTERIO DA FAZENDA</t>
  </si>
  <si>
    <t>Recebimento Físico - Valor conforme NF. 00077397  /UN referente ERNST</t>
  </si>
  <si>
    <t>Recebimento Físico - Valor conforme NF. 00004470  /UN referente LEE HECHT</t>
  </si>
  <si>
    <t>Recebimento Físico - Valor conforme NF. 00004471  /UN referente LEE HECHT</t>
  </si>
  <si>
    <t>Recebimento Físico - Valor conforme NF. 00004472  /UN referente LEE HECHT</t>
  </si>
  <si>
    <t>Recebimento Físico - Valor conforme NF. 00004473  /UN referente LEE HECHT</t>
  </si>
  <si>
    <t>Recebimento Físico - Valor conforme NF. 00004474  /UN referente LEE HECHT</t>
  </si>
  <si>
    <t>Recebimento Físico - Valor conforme NF. 00004475  /UN referente LEE HECHT</t>
  </si>
  <si>
    <t>Recebimento Físico - Valor conforme NF. 00004502  /UN referente LEE HECHT</t>
  </si>
  <si>
    <t>Recebimento Físico - Valor conforme NF. 00004503  /UN referente LEE HECHT</t>
  </si>
  <si>
    <t>Recebimento Físico - Valor conforme NF. 00004504  /UN referente LEE HECHT</t>
  </si>
  <si>
    <t>Recebimento Físico - Valor conforme NF. 00078363  /UN referente ERNST</t>
  </si>
  <si>
    <t>Recebimento Físico - Valor conforme NF. 00078364  /UN referente ERNST</t>
  </si>
  <si>
    <t>Recebimento Físico - Valor conforme NF. 00004561  /UN referente LEE HECHT</t>
  </si>
  <si>
    <t>Recebimento Físico - Valor conforme NF. 00004610  /UN referente LEE HECHT</t>
  </si>
  <si>
    <t>Recebimento Físico - Valor conforme NF. 00004611  /UN referente LEE HECHT</t>
  </si>
  <si>
    <t>CR-CT-040/20</t>
  </si>
  <si>
    <t>Recebimento Físico - Valor conforme NF. 00002142  /UN referente KPMG</t>
  </si>
  <si>
    <t>Recebimento Físico - Valor conforme NF. 00079538  /UN referente ERNST</t>
  </si>
  <si>
    <t>Recebimento Físico - Valor conforme NF. 00079552  /UN referente ERNST</t>
  </si>
  <si>
    <t>Recebimento Físico - Valor conforme NF. 00004636  /UN referente LEE HECHT</t>
  </si>
  <si>
    <t>Recebimento Físico - Valor conforme NF. 00004702  /UN referente LEE HECHT</t>
  </si>
  <si>
    <t>Recebimento Físico - Valor conforme NF. 00004739  /UN referente LEE HECHT</t>
  </si>
  <si>
    <t>Recebimento Físico - Valor conforme NF. 00004740  /UN referente LEE HECHT</t>
  </si>
  <si>
    <t>Recebimento Físico - Valor conforme NF. 00004741  /UN referente LEE HECHT</t>
  </si>
  <si>
    <t>Recebimento Físico - Valor conforme NF. 00004742  /UN referente LEE HECHT</t>
  </si>
  <si>
    <t>Recebimento Físico - Valor conforme NF. 00004743  /UN referente LEE HECHT</t>
  </si>
  <si>
    <t>Recebimento Físico - Valor conforme NF. 00002212  /UN referente KPMG</t>
  </si>
  <si>
    <t>Recebimento Físico - Valor conforme NF. 00002213  /UN referente KPMG</t>
  </si>
  <si>
    <t>GPA-CT-155/20</t>
  </si>
  <si>
    <t>Recebimento Físico - Valor conforme NF. 00008723  /UN referente ELOGROUP</t>
  </si>
  <si>
    <t>Recebimento Físico - Valor conforme NF. 00008809  /UN referente ELOGROUP</t>
  </si>
  <si>
    <t>NF: 78112639205 PIS , Fornecedor: MINISTERIO DA FAZENDA</t>
  </si>
  <si>
    <t>GPD-CT-204/20</t>
  </si>
  <si>
    <t>Estorno Recebimento Físico - Estorno conforme NF 00020918  /UN referente GPTW</t>
  </si>
  <si>
    <t>Recebimento Físico - Valor conforme NF. 00020918  /UN referente GPTW</t>
  </si>
  <si>
    <t>Recebimento Físico - Valor conforme NF. 00000052  /UN referente CLAN</t>
  </si>
  <si>
    <t>OC_0002778</t>
  </si>
  <si>
    <t>Item Despesa, NF: 00005148 , Fornecedor: EHUNTER TECNOLOGIA DA INFORMACAO LTDA</t>
  </si>
  <si>
    <t>Imposto retido na fonte, NF: 00022339 , Fornecedor: SAD CONSULTORIA LTDA</t>
  </si>
  <si>
    <t>Imposto retido na fonte, NF: 00009064 , Fornecedor: ELOGROUP DESENVOLVIMENTO E CONSULT LTDA</t>
  </si>
  <si>
    <t>Recebimento Físico - Valor conforme NF. 00000075  /UN referente VIDA TRAIN</t>
  </si>
  <si>
    <t>GP-CT-208/20</t>
  </si>
  <si>
    <t>Imposto retido na fonte, NF: 00022388 , Fornecedor: ERNST YOUNG ASSESSORIA EMPRESARIA LTDA</t>
  </si>
  <si>
    <t>Imposto retido na fonte, NF: 00022389 , Fornecedor: ERNST YOUNG ASSESSORIA EMPRESARIA LTDA</t>
  </si>
  <si>
    <t>OC_0000050</t>
  </si>
  <si>
    <t>Passivo, NF: 00003324 , Fornecedor: ENGLISH HOUSE LANGUAGE STUDIES LTDA</t>
  </si>
  <si>
    <t>OC_0000620</t>
  </si>
  <si>
    <t>Item Despesa, NF: 00003791 , Fornecedor: ENGLISH HOUSE LANGUAGE STUDIES LTDA</t>
  </si>
  <si>
    <t>OC_0001661</t>
  </si>
  <si>
    <t>Item Despesa, NF: 00004530 , Fornecedor: ENGLISH HOUSE LANGUAGE STUDIES LTDA</t>
  </si>
  <si>
    <t>Recebimento Físico - Valor conforme NF. 00001044  /UN referente GRAFIA</t>
  </si>
  <si>
    <t>Item Despesa, NF: 00024235 , Fornecedor: SAD CONSULTORIA LTDA</t>
  </si>
  <si>
    <t>Recebimento Físico - Valor conforme NF. 00001057  /UN referente GRAFIA</t>
  </si>
  <si>
    <t>OC_0004374</t>
  </si>
  <si>
    <t>Item Despesa, NF: 00014762 , Fornecedor: PERSONALE CONSULTORIA E TREINAMENTO LTDA</t>
  </si>
  <si>
    <t>Item Despesa, NF: 00004891 , Fornecedor: FUNDACAO COMITE DE GESTAO EMPRESARIAL- FUNDACAO COGE</t>
  </si>
  <si>
    <t>OC_0003379</t>
  </si>
  <si>
    <t>Item Despesa, NF: 78111761538R , Fornecedor: LINKEDIN IRLAND UNLIMITED COMPANY</t>
  </si>
  <si>
    <t>Item Despesa, NF: 00023147 , Fornecedor: ERNST YOUNG ASSESSORIA EMPRESARIA LTDA</t>
  </si>
  <si>
    <t>OC_0003196</t>
  </si>
  <si>
    <t>Item Despesa, NF: 00002330 , Fornecedor: TAQE CAPACITACAO, TECNOLOGIA E RECRUTAMENTO S.A.</t>
  </si>
  <si>
    <t>Imposto retido na fonte, NF: 00002293 , Fornecedor: TAQE CAPACITACAO, TECNOLOGIA E RECRUTAMENTO S.A.</t>
  </si>
  <si>
    <t>Item Despesa, NF: 00023233 , Fornecedor: ERNST YOUNG ASSESSORIA EMPRESARIA LTDA</t>
  </si>
  <si>
    <t>OC_0000347</t>
  </si>
  <si>
    <t>Item Despesa, NF: 00005283 , Fornecedor: LEE HECHT HARRISON CONS RECUR HUMA LTDA</t>
  </si>
  <si>
    <t>Imposto retido na fonte, NF: 00002367 , Fornecedor: TAQE CAPACITACAO, TECNOLOGIA E RECRUTAMENTO S.A.</t>
  </si>
  <si>
    <t>Imposto retido na fonte, NF: 00002402 , Fornecedor: TAQE CAPACITACAO, TECNOLOGIA E RECRUTAMENTO S.A.</t>
  </si>
  <si>
    <t>Item Despesa, NF: 00026841 , Fornecedor: SAD CONSULTORIA LTDA</t>
  </si>
  <si>
    <t>Item Despesa, NF: 00002246 , Fornecedor: TAQE CAPACITACAO, TECNOLOGIA E RECRUTAMENTO S.A.</t>
  </si>
  <si>
    <t>Imposto retido na fonte, NF: 00005307 , Fornecedor: LEE HECHT HARRISON CONS RECUR HUMA LTDA</t>
  </si>
  <si>
    <t>Item Despesa, NF: 00023435 , Fornecedor: ERNST YOUNG ASSESSORIA EMPRESARIA LTDA</t>
  </si>
  <si>
    <t>OC_0001962</t>
  </si>
  <si>
    <t>Item Despesa, NF: 00042015 , Fornecedor: SOLIDES TECNOLOGIA S/A</t>
  </si>
  <si>
    <t>NF: 78111761538R IRRF , Fornecedor: MINISTERIO DA FAZENDA</t>
  </si>
  <si>
    <t>OC_0000708</t>
  </si>
  <si>
    <t>Item Despesa, NF: 00000098 , Fornecedor: CLAN SERVICOS TECNICOS EIRELI ME</t>
  </si>
  <si>
    <t>OC_0002834</t>
  </si>
  <si>
    <t>Item Despesa, NF: 00001466 , Fornecedor: UNIVERSIDADE LIVRE PARA A EFICIENCIA HUMANA</t>
  </si>
  <si>
    <t>Imposto retido na fonte, NF: 00005353 , Fornecedor: LEE HECHT HARRISON CONS RECUR HUMA LTDA</t>
  </si>
  <si>
    <t>Imposto retido na fonte, NF: 00023723 , Fornecedor: ERNST YOUNG ASSESSORIA EMPRESARIA LTDA</t>
  </si>
  <si>
    <t>Imposto retido na fonte, NF: 00005401 , Fornecedor: LEE HECHT HARRISON CONS RECUR HUMA LTDA</t>
  </si>
  <si>
    <t>Item Despesa, NF: 00029707 , Fornecedor: SAD CONSULTORIA LTDA</t>
  </si>
  <si>
    <t>Provisao de Servicos PrestadosOC_0000347Ref.10/21LEE HECHT</t>
  </si>
  <si>
    <t>Item Despesa, NF: 00005469 , Fornecedor: LEE HECHT HARRISON CONS RECUR HUMA LTDA</t>
  </si>
  <si>
    <t>Imposto retido na fonte, NF: 00005494 , Fornecedor: LEE HECHT HARRISON CONS RECUR HUMA LTDA</t>
  </si>
  <si>
    <t>Provisao de Servicos Prestados NF: Fornecedor: ERNST YOUNG ASSESSORIA EMPRESARIA LTDA , GP-CT-208/20</t>
  </si>
  <si>
    <t>Item Despesa, NF: 00024748 , Fornecedor: ERNST YOUNG ASSESSORIA EMPRESARIA LTDA</t>
  </si>
  <si>
    <t>OC_0001346</t>
  </si>
  <si>
    <t>Imposto retido na fonte, NF: 00005579 , Fornecedor: LEE HECHT HARRISON CONS RECUR HUMA LTDA</t>
  </si>
  <si>
    <t>Item Despesa, NF: 00005598 , Fornecedor: LEE HECHT HARRISON CONS RECUR HUMA LTDA</t>
  </si>
  <si>
    <t>OC_0001577</t>
  </si>
  <si>
    <t>Item Despesa, NF: 00000081 , Fornecedor: LUPA TREINAMENTO E ORIENTAÇÃO PROFISSIONAL</t>
  </si>
  <si>
    <t>OC_0001177</t>
  </si>
  <si>
    <t>Item Despesa, NF: 00004243 , Fornecedor: ENGLISH HOUSE LANGUAGE STUDIES LTDA</t>
  </si>
  <si>
    <t>Recebimento Físico - Valor conforme NF. 00010488  /UN referente PERSONALE</t>
  </si>
  <si>
    <t>OC_0001667</t>
  </si>
  <si>
    <t>Item Despesa, NF: 00025098 , Fornecedor: ERNST YOUNG ASSESSORIA EMPRESARIA LTDA</t>
  </si>
  <si>
    <t>Item Despesa, NF: 00096129 , Fornecedor: ERNST YOUNG ASSESSORIA EMPRESARIA LTDA</t>
  </si>
  <si>
    <t>Provisao de Servicos Prestados NF: Fornecedor: LUPA TREINAMENTO E ORIENTAÇÃO PROFISSIONAL , OC_0001577</t>
  </si>
  <si>
    <t>Imposto retido na fonte, NF: 00005631 , Fornecedor: LEE HECHT HARRISON CONS RECUR HUMA LTDA</t>
  </si>
  <si>
    <t>Balanceamento de moeda estrangeira Perda, NF: 78112639205 , Fornecedor: LINKEDIN IRLAND UNLIMITED COMPANY</t>
  </si>
  <si>
    <t>Passivo, NF: 00000086 , Fornecedor: LUPA TREINAMENTO E ORIENTAÇÃO PROFISSIONAL</t>
  </si>
  <si>
    <t>OC_0003929</t>
  </si>
  <si>
    <t>Item Despesa, NF: 00002464R , Fornecedor: TAQE CAPACITACAO, TECNOLOGIA E RECRUTAMENTO S.A.</t>
  </si>
  <si>
    <t>OC_0001994</t>
  </si>
  <si>
    <t>Passivo, NF: 00000025 , Fornecedor: INSTITUTO AB TREINAMENTO E CONSULTORIA PROFISSIONAL LTDA</t>
  </si>
  <si>
    <t>Item Despesa, NF: 00025321 , Fornecedor: ERNST YOUNG ASSESSORIA EMPRESARIA LTDA</t>
  </si>
  <si>
    <t>Item Despesa, NF: 00025322 , Fornecedor: ERNST YOUNG ASSESSORIA EMPRESARIA LTDA</t>
  </si>
  <si>
    <t>OC_0003060</t>
  </si>
  <si>
    <t>Item Despesa, NF: 00013759 , Fornecedor: PERSONALE CONSULTORIA E TREINAMENTO LTDA</t>
  </si>
  <si>
    <t>OC_0003885</t>
  </si>
  <si>
    <t>Item Despesa, NF: 00032024 , Fornecedor: MARIA DO CARMO LEITE DE OLIVEIRA 72995246787</t>
  </si>
  <si>
    <t>Item Despesa, NF: 00000091 , Fornecedor: LUPA TREINAMENTO E ORIENTAÇÃO PROFISSIONAL</t>
  </si>
  <si>
    <t>NF: 78111360808 , Fornecedor: LinkedIn Ireland Unlimited Company</t>
  </si>
  <si>
    <t>Item Despesa, NF: 00000092 , Fornecedor: LUPA TREINAMENTO E ORIENTAÇÃO PROFISSIONAL</t>
  </si>
  <si>
    <t>OC_0001677</t>
  </si>
  <si>
    <t>Item Despesa, NF: 00000813 , Fornecedor: ELOGROUP CONSULTING LTDA</t>
  </si>
  <si>
    <t>OC_0001233</t>
  </si>
  <si>
    <t>Item Despesa, NF: 00000106 , Fornecedor: CLAN SERVICOS TECNICOS EIRELI ME</t>
  </si>
  <si>
    <t>Passivo, NF: 00005717 , Fornecedor: LEE HECHT HARRISON CONS RECUR HUMA LTDA</t>
  </si>
  <si>
    <t>OC_0000784</t>
  </si>
  <si>
    <t>Item Despesa, NF: 00003930 , Fornecedor: ENGLISH HOUSE LANGUAGE STUDIES LTDA</t>
  </si>
  <si>
    <t>OC_0001599</t>
  </si>
  <si>
    <t>Item Despesa, NF: 00000107 , Fornecedor: CLAN SERVICOS TECNICOS EIRELI ME</t>
  </si>
  <si>
    <t>Passivo, NF: 00000104 , Fornecedor: LUPA TREINAMENTO E ORIENTAÇÃO PROFISSIONAL</t>
  </si>
  <si>
    <t>OC_0001105</t>
  </si>
  <si>
    <t>Item Despesa, NF: 00000104 , Fornecedor: CLAN SERVICOS TECNICOS EIRELI ME</t>
  </si>
  <si>
    <t>OC_0001916</t>
  </si>
  <si>
    <t>Item Despesa, NF: 00000004 , Fornecedor: MARIA DO CARMO LEITE DE OLIVEIRA 72995246787</t>
  </si>
  <si>
    <t>Item Despesa, NF: 00005747 , Fornecedor: LEE HECHT HARRISON CONS RECUR HUMA LTDA</t>
  </si>
  <si>
    <t>Item Despesa, NF: 00000107 , Fornecedor: LUPA TREINAMENTO E ORIENTAÇÃO PROFISSIONAL</t>
  </si>
  <si>
    <t>OC_0011978</t>
  </si>
  <si>
    <t>Item Despesa, NF: 00000016 , Fornecedor: MARIA DO CARMO LEITE DE OLIVEIRA 72995246787</t>
  </si>
  <si>
    <t>Recebimento Físico - Valor conforme NF. 00000307  /UN referente CEST IDIOM</t>
  </si>
  <si>
    <t>OC_0002535</t>
  </si>
  <si>
    <t>Passivo, NF: 00005092 , Fornecedor: E-HUNTER TECNOLOGIA DA INFORMAÇÃO LTDA</t>
  </si>
  <si>
    <t>Balanceamento de moeda estrangeira Perda, NF: 78112186925 , Fornecedor: LINKEDIN IRLAND UNLIMITED COMPANY</t>
  </si>
  <si>
    <t>OC_0002801</t>
  </si>
  <si>
    <t>Item Despesa, NF: 00000008 , Fornecedor: MARIA DO CARMO LEITE DE OLIVEIRA 72995246787</t>
  </si>
  <si>
    <t>OC_0003213</t>
  </si>
  <si>
    <t>Item Despesa, NF: 00000010 , Fornecedor: MARIA DO CARMO LEITE DE OLIVEIRA 72995246787</t>
  </si>
  <si>
    <t>OC_0004046</t>
  </si>
  <si>
    <t>Item Despesa, NF: 00062024 , Fornecedor: MARIA DO CARMO LEITE DE OLIVEIRA 72995246787</t>
  </si>
  <si>
    <t>OC_0004698</t>
  </si>
  <si>
    <t>Item Despesa, NF: 78112186925 , Fornecedor: LINKEDIN IRLAND UNLIMITED COMPANY</t>
  </si>
  <si>
    <t>OC_0005821</t>
  </si>
  <si>
    <t>Item Despesa, NF: 00000012 , Fornecedor: MARIA DO CARMO LEITE DE OLIVEIRA 72995246787</t>
  </si>
  <si>
    <t>OC_0005580</t>
  </si>
  <si>
    <t>Item Despesa, NF: 00005043 , Fornecedor: FUNDACAO COMITE DE GESTAO EMPRESARIAL- FUNDACAO COGE</t>
  </si>
  <si>
    <t>OC_0002405</t>
  </si>
  <si>
    <t>Item Despesa, NF: 00001317 , Fornecedor: UNIVERSIDADE LIVRE PARA A EFICIENCIA HUMANA</t>
  </si>
  <si>
    <t>OC_0000183</t>
  </si>
  <si>
    <t>Item Despesa, NF: 00000088 , Fornecedor: CLAN SERVICOS TECNICOS EIRELI ME</t>
  </si>
  <si>
    <t>OC_0001805</t>
  </si>
  <si>
    <t>Item Despesa, NF: 00000003 , Fornecedor: MARIA DO CARMO LEITE DE OLIVEIRA 72995246787</t>
  </si>
  <si>
    <t>Recebimento Físico - Valor conforme NF. 00002879  /UN referente ENGLISH HO</t>
  </si>
  <si>
    <t>OC_0000696</t>
  </si>
  <si>
    <t>Item Despesa, NF: 00003802 , Fornecedor: ENGLISH HOUSE LANGUAGE STUDIES LTDA</t>
  </si>
  <si>
    <t>OC_0000703</t>
  </si>
  <si>
    <t>Item Despesa, NF: 00003863 , Fornecedor: ENGLISH HOUSE LANGUAGE STUDIES LTDA</t>
  </si>
  <si>
    <t>Item Despesa, NF: 00005925 , Fornecedor: LEE HECHT HARRISON CONS RECUR HUMA LTDA</t>
  </si>
  <si>
    <t>OC_0000924</t>
  </si>
  <si>
    <t>Item Despesa, NF: 00004024 , Fornecedor: ENGLISH HOUSE LANGUAGE STUDIES LTDA</t>
  </si>
  <si>
    <t>OC_0001206</t>
  </si>
  <si>
    <t>Item Despesa, NF: 00004278 , Fornecedor: ENGLISH HOUSE LANGUAGE STUDIES LTDA</t>
  </si>
  <si>
    <t>OC_0002385</t>
  </si>
  <si>
    <t>Item Despesa, NF: 00001854 , Fornecedor: ZRG BRASIL CONSULTORES EM CAPITAL HUMANO E GOVERNANCA LTDA.</t>
  </si>
  <si>
    <t>OC_0002424</t>
  </si>
  <si>
    <t>Imposto retido na fonte, NF: 00050517 , Fornecedor: SAD CONSULTORIA LTDA</t>
  </si>
  <si>
    <t>NF: 78112186925 IRRF , Fornecedor: MINISTERIO DA FAZENDA</t>
  </si>
  <si>
    <t>OC_0001262</t>
  </si>
  <si>
    <t>Item Despesa, NF: 00004324 , Fornecedor: ENGLISH HOUSE LANGUAGE STUDIES LTDA</t>
  </si>
  <si>
    <t>OC_0001678</t>
  </si>
  <si>
    <t>Passivo, NF: 00004535 , Fornecedor: ENGLISH HOUSE LANGUAGE STUDIES LTDA</t>
  </si>
  <si>
    <t>Item Despesa, NF: 00051961 , Fornecedor: SAD CONSULTORIA LTDA</t>
  </si>
  <si>
    <t>Provisao de Servicos Prestados NF: Fornecedor:  LEE HECHTOC_0001346</t>
  </si>
  <si>
    <t>Item Despesa, NF: 00006035 , Fornecedor: LEE HECHT HARRISON CONS RECUR HUMA LTDA</t>
  </si>
  <si>
    <t>Imposto retido na fonte, NF: 00055058 , Fornecedor: SAD CONSULTORIA LTDA</t>
  </si>
  <si>
    <t>Item Despesa, NF: 00056879 , Fornecedor: SAD CONSULTORIA LTDA</t>
  </si>
  <si>
    <t>Item Despesa, NF: 00001924 , Fornecedor: ZRG BRASIL CONSULTORES EM CAPITAL HUMANO E GOVERNANCA LTDA.</t>
  </si>
  <si>
    <t>Item Despesa, NF: 00062492 , Fornecedor: SAD CONSULTORIA LTDA</t>
  </si>
  <si>
    <t>Passivo, NF: 00001973 , Fornecedor: ZRG BRASIL CONSULTORES EM CAPITAL HUMANO E GOVERNANCA LTDA.</t>
  </si>
  <si>
    <t>Imposto retido na fonte, NF: 00068152 , Fornecedor: SAD CONSULTORIA LTDA</t>
  </si>
  <si>
    <t>OC_0003285</t>
  </si>
  <si>
    <t>Item Despesa, NF: 00001436 , Fornecedor: ELOGROUP CONSULTING LTDA</t>
  </si>
  <si>
    <t>OC_0003425</t>
  </si>
  <si>
    <t>Item Despesa, NF: 00073711 , Fornecedor: SAD CONSULTORIA LTDA</t>
  </si>
  <si>
    <t>Item Despesa, NF: 00073713 , Fornecedor: SAD CONSULTORIA LTDA</t>
  </si>
  <si>
    <t>Provisão de Serviços Prestados, NF: , Fornecedor: LEE HECHT, Ref.10/23 Contrato: OC_0003315.</t>
  </si>
  <si>
    <t>Provisão de Serviços Prestados, NF: , Fornecedor: CLARO, Ref.11/23 Contrato: DIVERSOS.</t>
  </si>
  <si>
    <t>OC_0003315</t>
  </si>
  <si>
    <t>Item Despesa, NF: 00006433 , Fornecedor: LEE HECHT HARRISON CONSULTORIA EM RECURSOS HUMANOS LTDA</t>
  </si>
  <si>
    <t>Item Despesa, NF: 00002122 , Fornecedor: ZRG BRASIL CONSULTORES EM CAPITAL HUMANO E GOVERNANCA LTDA.</t>
  </si>
  <si>
    <t>Imposto retido na fonte, NF: 00006471 , Fornecedor: LEE HECHT HARRISON CONSULTORIA EM RECURSOS HUMANOS LTDA</t>
  </si>
  <si>
    <t>Provisão de Serviços Prestados, NF: , Fornecedor: CLARO, Ref.12/23 Contrato: DIVERSOS.</t>
  </si>
  <si>
    <t>OC_0000387</t>
  </si>
  <si>
    <t>Item Despesa, NF: 00000093 , Fornecedor: CLAN SERVICOS TECNICOS EIRELI ME</t>
  </si>
  <si>
    <t>Item Despesa, NF: 00001632 , Fornecedor: ELOGROUP CONSULTING LTDA</t>
  </si>
  <si>
    <t>OC_0002063</t>
  </si>
  <si>
    <t>Item Despesa, NF: 00000005 , Fornecedor: MARIA DO CARMO LEITE DE OLIVEIRA 72995246787</t>
  </si>
  <si>
    <t>Item Despesa, NF: 00006520 , Fornecedor: LEE HECHT HARRISON CONSULTORIA EM RECURSOS HUMANOS LTDA</t>
  </si>
  <si>
    <t>Imposto retido na fonte, NF: 00081942 , Fornecedor: SAD CONSULTORIA LTDA</t>
  </si>
  <si>
    <t>Passivo, NF: 00081943 , Fornecedor: SAD CONSULTORIA LTDA</t>
  </si>
  <si>
    <t>Provisão de Serviços Prestados, NF: , Fornecedor: CLARO, Ref.01/24 Contrato: DIVERSOS.</t>
  </si>
  <si>
    <t>Provisão de Serviços Prestados, NF: , Fornecedor: ELOGROUP, Ref.01/24 Contrato: OC_0003285.</t>
  </si>
  <si>
    <t>OC_0000595</t>
  </si>
  <si>
    <t>Item Despesa, NF: 00000096 , Fornecedor: CLAN SERVICOS TECNICOS EIRELI ME</t>
  </si>
  <si>
    <t>Item Despesa, NF: 00001650 , Fornecedor: ELOGROUP CONSULTING LTDA</t>
  </si>
  <si>
    <t>Imposto retido na fonte, NF: 00006560 , Fornecedor: LEE HECHT HARRISON CONSULTORIA EM RECURSOS HUMANOS LTDA</t>
  </si>
  <si>
    <t>Provisão de Serviços Prestados, NF: , Fornecedor: CLARO, Ref.02/24 Contrato: DIVERSOS.</t>
  </si>
  <si>
    <t>OC_0010596</t>
  </si>
  <si>
    <t>Item Despesa, NF: 00001711 , Fornecedor: EURECA! - ATITUDE EMPREENDEDORA LTDA</t>
  </si>
  <si>
    <t>OC_0001755</t>
  </si>
  <si>
    <t>Item Despesa, NF: 00000002 , Fornecedor: MARIA DO CARMO LEITE DE OLIVEIRA 72995246787</t>
  </si>
  <si>
    <t>Item Despesa, NF: 78112639205 , Fornecedor: LINKEDIN IRLAND UNLIMITED COMPANY</t>
  </si>
  <si>
    <t>Item Despesa, NF: 00002190 , Fornecedor: ZRG BRASIL CONSULTORES EM CAPITAL HUMANO E GOVERNANCA LTDA.</t>
  </si>
  <si>
    <t>Item Despesa, NF: 00086563 , Fornecedor: SAD CONSULTORIA LTDA</t>
  </si>
  <si>
    <t>Provisão de Serviços Prestados, NF: , Fornecedor: CLARO, Ref.03/24 Contrato: DIVERSOS.</t>
  </si>
  <si>
    <t>OC_0011274</t>
  </si>
  <si>
    <t>OC_0004299</t>
  </si>
  <si>
    <t>Item Despesa, NF: 20240010 , Fornecedor: MARIA DO CARMO LEITE DE OLIVEIRA 72995246787</t>
  </si>
  <si>
    <t>NF: 78112186925 IOF , Fornecedor: BANCO SANTANDER BRASIL SA</t>
  </si>
  <si>
    <t>OC_0008801</t>
  </si>
  <si>
    <t>Item Despesa, NF: 00000013 , Fornecedor: MARIA DO CARMO LEITE DE OLIVEIRA 72995246787</t>
  </si>
  <si>
    <t>OC_0012670</t>
  </si>
  <si>
    <t>Item Despesa, NF: 00001926 , Fornecedor: EURECA! - ATITUDE EMPREENDEDORA LTDA</t>
  </si>
  <si>
    <t>NF: 78111360808 IOF , Fornecedor: BANCO SANTANDER BRASIL SA</t>
  </si>
  <si>
    <t>Item Despesa, NF: 00006610 , Fornecedor: LEE HECHT HARRISON CONSULTORIA EM RECURSOS HUMANOS LTDA</t>
  </si>
  <si>
    <t>Provisão de Serviços Prestados, NF: , Fornecedor: CLARO, Ref.04/24 Contrato: OC_0003546.</t>
  </si>
  <si>
    <t>Provisão de Serviços Prestados, NF: , Fornecedor: ELOGROUP, Ref.04/24 Contrato: OC_0003285.</t>
  </si>
  <si>
    <t>NF: 78111761538R IOF , Fornecedor: BANCO SANTANDER BRASIL SA</t>
  </si>
  <si>
    <t>Passivo, NF: 00001740 , Fornecedor: ELOGROUP CONSULTING LTDA</t>
  </si>
  <si>
    <t>OC_0003948</t>
  </si>
  <si>
    <t>Item Despesa, NF: 00052024 , Fornecedor: MARIA DO CARMO LEITE DE OLIVEIRA 72995246787</t>
  </si>
  <si>
    <t>Item Despesa, NF: 00002224 , Fornecedor: ZRG BRASIL CONSULTORES EM CAPITAL HUMANO E GOVERNANCA LTDA.</t>
  </si>
  <si>
    <t>OC_0002308</t>
  </si>
  <si>
    <t>Item Despesa, NF: 00000006 , Fornecedor: MARIA DO CARMO LEITE DE OLIVEIRA 72995246787</t>
  </si>
  <si>
    <t>OC_0003061</t>
  </si>
  <si>
    <t>Item Despesa, NF: 00000009 , Fornecedor: MARIA DO CARMO LEITE DE OLIVEIRA 72995246787</t>
  </si>
  <si>
    <t>NF: 78112639205 IRRF , Fornecedor: MINISTERIO DA FAZENDA</t>
  </si>
  <si>
    <t>Item Despesa, NF: 00006671 , Fornecedor: LEE HECHT HARRISON CONSULTORIA EM RECURSOS HUMANOS LTDA</t>
  </si>
  <si>
    <t>Provisão de Serviços Prestados, NF: , Fornecedor: CLARO, Ref.05/24 Contrato: OC_0003546.</t>
  </si>
  <si>
    <t>OC_0005110</t>
  </si>
  <si>
    <t>Passivo, NF: 00000011 , Fornecedor: MARIA DO CARMO LEITE DE OLIVEIRA 72995246787</t>
  </si>
  <si>
    <t>Provisão de Serviços Prestados, NF: , Fornecedor: CLARO, Ref.06/24 Contrato: OC_0003546.</t>
  </si>
  <si>
    <t>Item Despesa, NF: 00006755 , Fornecedor: LEE HECHT HARRISON CONSULTORIA EM RECURSOS HUMANOS LTDA</t>
  </si>
  <si>
    <t>Imposto retido na fonte, NF: 00006785 , Fornecedor: LEE HECHT HARRISON CONSULTORIA EM RECURSOS HUMANOS LTDA</t>
  </si>
  <si>
    <t>Provisão de Serviços Prestados, NF: , Fornecedor: CLARO, Ref.07/24 Contrato: OC_0003546.</t>
  </si>
  <si>
    <t>Recebimento Físico - Valor conforme NF. 00000084  /UN referente CLAN</t>
  </si>
  <si>
    <t>Item Despesa, NF: 00006801 , Fornecedor: LEE HECHT HARRISON CONSULTORIA EM RECURSOS HUMANOS LTDA</t>
  </si>
  <si>
    <t>Passivo, NF: 00006836 , Fornecedor: LEE HECHT HARRISON CONSULTORIA EM RECURSOS HUMANOS LTDA</t>
  </si>
  <si>
    <t>Provisão de Serviços Prestados, NF: , Fornecedor: CLARO, Ref.08/24 Contrato: OC_0003546.</t>
  </si>
  <si>
    <t>OC_0004777</t>
  </si>
  <si>
    <t>Imposto retido na fonte, NF: 00006855 , Fornecedor: LEE HECHT HARRISON CONSULTORIA EM RECURSOS HUMANOS LTDA</t>
  </si>
  <si>
    <t>Provisão de Serviços Prestados, NF: , Fornecedor: CLARO, Ref.09/24 Contrato: OC_0003546.</t>
  </si>
  <si>
    <t>OC_0005550</t>
  </si>
  <si>
    <t>Item Despesa, NF: 00006923 , Fornecedor: LEE HECHT HARRISON CONSULTORIA EM RECURSOS HUMANOS LTDA</t>
  </si>
  <si>
    <t>Provisão de Serviços Prestados, NF: , Fornecedor: CLARO, Ref.10/24 Contrato: OC_0003546.</t>
  </si>
  <si>
    <t>OC_0006451</t>
  </si>
  <si>
    <t>Passivo, NF: 00105135 , Fornecedor: SAD CONSULTORIA LTDA</t>
  </si>
  <si>
    <t>Provisão de Serviços Prestados, NF: , Fornecedor: CLARO, Ref.11/24 Contrato: OC_0003546.</t>
  </si>
  <si>
    <t>OC_0006979</t>
  </si>
  <si>
    <t>Item Despesa, NF: 00107134 , Fornecedor: SAD CONSULTORIA LTDA</t>
  </si>
  <si>
    <t>Provisão de Serviços Prestados, NF: , Fornecedor: CLARO, Ref.12/24 Contrato: OC_0003546.</t>
  </si>
  <si>
    <t>Provisão de Serviços Prestados, NF: , Fornecedor: RUSSEL, Ref.12/24 Contrato: OC_0006859.</t>
  </si>
  <si>
    <t>OC_0007673</t>
  </si>
  <si>
    <t>Item Despesa, NF: 00007339 , Fornecedor: RUSSELL REYNOLDS ASSOCIATES LTDA</t>
  </si>
  <si>
    <t>Provisão de Serviços Prestados, NF: , Fornecedor: CLARO, Ref.01/25 Contrato: OC_0003546.</t>
  </si>
  <si>
    <t>OC_0008056</t>
  </si>
  <si>
    <t>Item Despesa, NF: 00007356 , Fornecedor: RUSSELL REYNOLDS ASSOCIATES LTDA</t>
  </si>
  <si>
    <t>Provisão de Serviços Prestados, NF: , Fornecedor: CLARO, Ref.02/25 Contrato: OC_0003546.</t>
  </si>
  <si>
    <t>OC_0008273</t>
  </si>
  <si>
    <t>Item Despesa, NF: 00113385 , Fornecedor: SAD CONSULTORIA LTDA</t>
  </si>
  <si>
    <t>OC_0008274</t>
  </si>
  <si>
    <t>Item Despesa, NF: 00113384 , Fornecedor: SAD CONSULTORIA LTDA</t>
  </si>
  <si>
    <t>Provisão de Serviços Prestados, NF: , Fornecedor: CLARO, Ref.03/25 Contrato: OC_0003546.</t>
  </si>
  <si>
    <t>Provisão de Serviços Prestados, NF: , Fornecedor: CLARO, Ref.04/25 Contrato: OC_0003546.</t>
  </si>
  <si>
    <t>OC_0009396</t>
  </si>
  <si>
    <t>Item Despesa, NF: 00007429 , Fornecedor: RUSSELL REYNOLDS ASSOCIATES LTDA</t>
  </si>
  <si>
    <t>Provisão de Serviços Prestados, NF: , Fornecedor: CLARO, Ref.05/25 Contrato: OC_0003546.</t>
  </si>
  <si>
    <t>Provisão de Serviços Prestados, NF: , Fornecedor: CLARO, Ref.06/25 Contrato: OC_0003546.</t>
  </si>
  <si>
    <t>OC_0010299</t>
  </si>
  <si>
    <t>Item Despesa, NF: 00007465 , Fornecedor: RUSSELL REYNOLDS ASSOCIATES LTDA</t>
  </si>
  <si>
    <t>Provisão de Serviços Prestados, NF: , Fornecedor: CLARO, Ref.07/25 Contrato: OC_0003546.</t>
  </si>
  <si>
    <t>OC_0011129</t>
  </si>
  <si>
    <t>Item Despesa, NF: 00007492 , Fornecedor: RUSSELL REYNOLDS ASSOCIATES LTDA</t>
  </si>
  <si>
    <t>Provisão de Serviços Prestados, NF: , Fornecedor: CLARO, Ref.08/25 Contrato: OC_0003546.</t>
  </si>
  <si>
    <t>OC_0011279</t>
  </si>
  <si>
    <t>Item Despesa, NF: 00126054 , Fornecedor: SAD CONSULTORIA LTDA</t>
  </si>
  <si>
    <t>OC_0011280</t>
  </si>
  <si>
    <t>Item Despesa, NF: 00126055 , Fornecedor: SAD CONSULTORIA LTDA</t>
  </si>
  <si>
    <t>Provisão de Serviços Prestados, NF: , Fornecedor: CLARO, Ref.09/25 Contrato: OC_0003546.</t>
  </si>
  <si>
    <t>Provisão de Serviços Prestados, NF: , Fornecedor: CLARO, Ref.10/25 Contrato: OC_0003546.</t>
  </si>
  <si>
    <t>OC_0012436</t>
  </si>
  <si>
    <t>Item Despesa, NF: 00130284 , Fornecedor: SAD CONSULTORIA LTDA</t>
  </si>
  <si>
    <t>Item Despesa, NF: 00130285 , Fornecedor: SAD CONSULTORIA LTDA</t>
  </si>
  <si>
    <t>Provisão de Serviços Prestados, NF: , Fornecedor: CLARO, Ref.11/25 Contrato: OC_0003546.</t>
  </si>
  <si>
    <t>OC_0012896</t>
  </si>
  <si>
    <t>Item Despesa, NF: 00007555 , Fornecedor: RUSSELL REYNOLDS ASSOCIATES LTDA</t>
  </si>
  <si>
    <t>OC_0012958</t>
  </si>
  <si>
    <t>Item Despesa, NF: 00131929 , Fornecedor: SAD CONSULTORIA LTDA</t>
  </si>
  <si>
    <t>Item Despesa, NF: 00131930 , Fornecedor: SAD CONSULTORIA LTDA</t>
  </si>
  <si>
    <t>OC_0013059</t>
  </si>
  <si>
    <t>Item Despesa, NF: 00008105 , Fornecedor: EGON ZEHNDER INTERNATIONAL LTDA</t>
  </si>
  <si>
    <t>OC_0013550</t>
  </si>
  <si>
    <t>Item Despesa, NF: 00133782 , Fornecedor: SAD CONSULTORIA LTDA</t>
  </si>
  <si>
    <t>OC_0013548</t>
  </si>
  <si>
    <t>Item Despesa, NF: 00133784 , Fornecedor: SAD CONSULTORIA LTDA</t>
  </si>
  <si>
    <t>Item Despesa, NF: 00133785 , Fornecedor: SAD CONSULTORIA LTDA</t>
  </si>
  <si>
    <t>Item Despesa, NF: 00133783 , Fornecedor: SAD CONSULTORIA LTDA</t>
  </si>
  <si>
    <t>OC_0013703</t>
  </si>
  <si>
    <t>Item Despesa, NF: 00008136 , Fornecedor: EGON ZEHNDER INTERNATIONAL LTDA</t>
  </si>
  <si>
    <t>Provisão de Serviços Prestados, NF: , Fornecedor: CLARO, Ref.01/26 Contrato: OC_0003546.</t>
  </si>
  <si>
    <t>OC_0014189</t>
  </si>
  <si>
    <t>Item Despesa, NF: 00008165 , Fornecedor: EGON ZEHNDER INTERNATIONAL LTDA</t>
  </si>
  <si>
    <t>Provisão de Serviços Prestados, NF: , Fornecedor: CLARO, Ref.02/26 Contrato: OC_0003546.</t>
  </si>
  <si>
    <t>OC_0014613</t>
  </si>
  <si>
    <t>Item Despesa, NF: 00007604 , Fornecedor: RUSSELL REYNOLDS ASSOCIATES LTDA</t>
  </si>
  <si>
    <t>Provisão de Serviços Prestados, NF: , Fornecedor: CLARO, Ref.03/26 Contrato: OC_0003546.</t>
  </si>
  <si>
    <t>Recebimento Físico - Valor conforme NF. 00000069  /UN referente CLAN</t>
  </si>
  <si>
    <t>OC_0015059</t>
  </si>
  <si>
    <t>Item Despesa, NF: 00008224 , Fornecedor: EGON ZEHNDER INTERNATIONAL LTDA</t>
  </si>
  <si>
    <t>OC_0002480</t>
  </si>
  <si>
    <t>Item Despesa, NF: 00000007 , Fornecedor: MARIA DO CARMO LEITE DE OLIVEIRA 72995246787</t>
  </si>
</sst>
</file>

<file path=xl/styles.xml><?xml version="1.0" encoding="utf-8"?>
<styleSheet xmlns="http://schemas.openxmlformats.org/spreadsheetml/2006/main">
  <numFmts count="5">
    <numFmt numFmtId="176" formatCode="_-* #,##0_-;\-* #,##0_-;_-* &quot;-&quot;??_-;_-@_-"/>
    <numFmt numFmtId="177" formatCode="_-&quot;R$&quot;\ * #,##0.00_-;\-&quot;R$&quot;\ * #,##0.00_-;_-&quot;R$&quot;\ * &quot;-&quot;??_-;_-@_-"/>
    <numFmt numFmtId="178" formatCode="_-* #,##0.00_-;\-* #,##0.00_-;_-* &quot;-&quot;??_-;_-@_-"/>
    <numFmt numFmtId="179" formatCode="_-* #,##0_-;\-* #,##0_-;_-* &quot;-&quot;_-;_-@_-"/>
    <numFmt numFmtId="180" formatCode="_-&quot;R$&quot;\ * #,##0_-;\-&quot;R$&quot;\ * #,##0_-;_-&quot;R$&quot;\ * &quot;-&quot;_-;_-@_-"/>
  </numFmts>
  <fonts count="22">
    <font>
      <sz val="10"/>
      <color theme="1"/>
      <name val="Aptos"/>
      <charset val="134"/>
    </font>
    <font>
      <sz val="10"/>
      <color rgb="FFFF0000"/>
      <name val="Aptos"/>
      <charset val="134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8"/>
      <color theme="3"/>
      <name val="Aptos Narrow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11" borderId="7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34" borderId="8" applyNumberFormat="0" applyFon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80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6" fillId="7" borderId="1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58" fontId="0" fillId="0" borderId="0" xfId="0" applyNumberFormat="1"/>
    <xf numFmtId="176" fontId="0" fillId="0" borderId="0" xfId="44" applyNumberFormat="1" applyFont="1"/>
    <xf numFmtId="0" fontId="0" fillId="3" borderId="0" xfId="0" applyFill="1"/>
    <xf numFmtId="178" fontId="0" fillId="4" borderId="0" xfId="44" applyFont="1" applyFill="1"/>
    <xf numFmtId="178" fontId="0" fillId="0" borderId="0" xfId="44" applyFont="1" applyFill="1"/>
    <xf numFmtId="58" fontId="1" fillId="0" borderId="0" xfId="0" applyNumberFormat="1" applyFont="1"/>
    <xf numFmtId="178" fontId="1" fillId="4" borderId="0" xfId="44" applyFont="1" applyFill="1"/>
    <xf numFmtId="58" fontId="0" fillId="2" borderId="0" xfId="0" applyNumberFormat="1" applyFill="1"/>
    <xf numFmtId="178" fontId="0" fillId="2" borderId="0" xfId="44" applyFont="1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4">
    <dxf>
      <numFmt numFmtId="58" formatCode="dd/mm/yyyy"/>
    </dxf>
    <dxf>
      <fill>
        <patternFill patternType="solid">
          <bgColor theme="0" tint="-0.149998474074526"/>
        </patternFill>
      </fill>
    </dxf>
    <dxf>
      <numFmt numFmtId="178" formatCode="_-* #,##0.00_-;\-* #,##0.00_-;_-* &quot;-&quot;??_-;_-@_-"/>
      <fill>
        <patternFill patternType="solid">
          <bgColor theme="0" tint="-0.149998474074526"/>
        </patternFill>
      </fill>
    </dxf>
    <dxf>
      <numFmt numFmtId="178" formatCode="_-* #,##0.00_-;\-* #,##0.00_-;_-* &quot;-&quot;??_-;_-@_-"/>
      <fill>
        <patternFill patternType="solid">
          <bgColor theme="0" tint="-0.1499984740745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ela5" displayName="Tabela5" ref="A2:Q985" totalsRowShown="0">
  <autoFilter ref="A2:Q985">
    <filterColumn colId="2">
      <customFilters>
        <customFilter operator="equal" val="50213 - Recrutamento &amp; Seleção/Hunting e Avaliações Comportamentais/Atitudinais: vagas efetivas (executivas + vagas especializadas/críticas e PCD) CONSTRUIR - Trainee: Desenvolv de questões testes on line e Set-up, Correções de Redações e Teste"/>
      </customFilters>
    </filterColumn>
    <filterColumn colId="15">
      <filters>
        <filter val="2.339,20"/>
        <filter val="2.357,20"/>
        <filter val="5.596,50"/>
        <filter val="1.676,14"/>
        <filter val="9.688,99"/>
        <filter val="2.102,10"/>
        <filter val="1.201,20"/>
        <filter val="1.296,20"/>
        <filter val="2.362,14"/>
        <filter val="5.003,65"/>
        <filter val="3.093,45"/>
        <filter val="2.162,16"/>
        <filter val="2.556,16"/>
        <filter val="2.592,40"/>
        <filter val="2.604,40"/>
        <filter val="13.610,10"/>
        <filter val="7.927,50"/>
        <filter val="1.944,30"/>
        <filter val="7.310,52"/>
        <filter val="7.961,54"/>
        <filter val="1.012,35"/>
        <filter val="1.964,35"/>
        <filter val="2.574,47"/>
        <filter val="60,00"/>
        <filter val="5.184,80"/>
        <filter val="12.375,30"/>
        <filter val="2.592,30"/>
        <filter val="8.839,50"/>
        <filter val="2.995,30"/>
        <filter val="160,00"/>
        <filter val="200,00"/>
        <filter val="240,00"/>
        <filter val="260,00"/>
        <filter val="280,00"/>
        <filter val="340,00"/>
        <filter val="344,00"/>
        <filter val="350,00"/>
        <filter val="360,00"/>
        <filter val="400,00"/>
        <filter val="420,00"/>
        <filter val="475,00"/>
        <filter val="560,00"/>
        <filter val="700,00"/>
        <filter val="774,00"/>
        <filter val="860,00"/>
        <filter val="912,00"/>
        <filter val="3.243,24"/>
        <filter val="1.790,44"/>
        <filter val="955,08"/>
        <filter val="1.728,49"/>
        <filter val="14.000,00"/>
        <filter val="14.500,00"/>
        <filter val="14.540,00"/>
        <filter val="4.650,00"/>
        <filter val="4.830,00"/>
        <filter val="4.920,00"/>
        <filter val="4.980,00"/>
        <filter val="4.659,02"/>
        <filter val="4.887,04"/>
        <filter val="4.628,09"/>
        <filter val="619,20"/>
        <filter val="3.632,01"/>
        <filter val="13.380,04"/>
        <filter val="6.217,98"/>
        <filter val="252,29"/>
        <filter val="12.000,00"/>
        <filter val="2.000,00"/>
        <filter val="2.100,00"/>
        <filter val="2.432,00"/>
        <filter val="7.660,90"/>
        <filter val="12.835,00"/>
        <filter val="2.890,00"/>
        <filter val="2.950,00"/>
        <filter val="9.729,73"/>
        <filter val="11.000,00"/>
        <filter val="1.050,00"/>
        <filter val="1.100,00"/>
        <filter val="1.196,00"/>
        <filter val="1.200,00"/>
        <filter val="10.264,10"/>
        <filter val="1.400,00"/>
        <filter val="9.428,80"/>
        <filter val="1.600,00"/>
        <filter val="1.640,00"/>
        <filter val="1.650,00"/>
        <filter val="11.672,00"/>
        <filter val="1.700,00"/>
        <filter val="1.713,00"/>
        <filter val="1.813,00"/>
        <filter val="1.824,00"/>
        <filter val="120,40"/>
        <filter val="8.000,00"/>
        <filter val="8.736,00"/>
        <filter val="1.767,90"/>
        <filter val="8.960,00"/>
        <filter val="115,50"/>
        <filter val="1.689,96"/>
        <filter val="7.830,00"/>
        <filter val="9.839,20"/>
        <filter val="395,60"/>
        <filter val="653,60"/>
        <filter val="250,61"/>
        <filter val="7.784,05"/>
        <filter val="429,66"/>
        <filter val="2.419,99"/>
        <filter val="6.000,00"/>
        <filter val="10.369,60"/>
        <filter val="6.481,00"/>
        <filter val="13.553,90"/>
        <filter val="488,70"/>
        <filter val="6.595,03"/>
        <filter val="5.000,00"/>
        <filter val="5.893,00"/>
        <filter val="326,80"/>
        <filter val="1.738,50"/>
        <filter val="900,90"/>
        <filter val="5.024,13"/>
        <filter val="4.761,84"/>
        <filter val="270,95"/>
        <filter val="7.732,36"/>
        <filter val="828,99"/>
        <filter val="8.425,30"/>
        <filter val="6.480,10"/>
        <filter val="3.535,80"/>
        <filter val="4.536,70"/>
        <filter val="7.720,40"/>
        <filter val="4.708,71"/>
        <filter val="6.639,12"/>
        <filter val="5.225,23"/>
        <filter val="6.194,16"/>
        <filter val="11.196,70"/>
        <filter val="3.240,50"/>
        <filter val="8.250,20"/>
        <filter val="1.883,70"/>
        <filter val="4.785,61"/>
        <filter val="1.678,74"/>
        <filter val="4.257,69"/>
        <filter val="1.100,80"/>
        <filter val="9.219,00"/>
        <filter val="9.300,00"/>
        <filter val="6.482,30"/>
        <filter val="9.500,00"/>
        <filter val="2.702,70"/>
        <filter val="1.801,80"/>
        <filter val="7.871,20"/>
        <filter val="3.888,60"/>
        <filter val="4.907,50"/>
        <filter val="7.130,21"/>
        <filter val="7.052,22"/>
      </filters>
    </filterColumn>
  </autoFilter>
  <sortState ref="A3:Q985">
    <sortCondition ref="P2" descending="1"/>
  </sortState>
  <tableColumns count="17">
    <tableColumn id="1" name="Dim_CentroCusto[Centro Custo]"/>
    <tableColumn id="2" name="Dim_Estrutura[5 Cta Contábil Abrev]"/>
    <tableColumn id="3" name="Dim_Iniciativa[6 Iniciativa]"/>
    <tableColumn id="4" name="Dim_Cenario[Nome Cenario]"/>
    <tableColumn id="5" name="Dim_Calendario[Ano]"/>
    <tableColumn id="6" name="Dim_Calendario[Trim]"/>
    <tableColumn id="7" name="Dim_Calendario[Mês]"/>
    <tableColumn id="8" name="Dim_Calendario[Mes.num]"/>
    <tableColumn id="9" name="[Valores_cenario]"/>
    <tableColumn id="10" name="Ciclo"/>
    <tableColumn id="11" name="Dim_Calendario[Data]" dataDxfId="0"/>
    <tableColumn id="12" name="Fato_Realizado[Cod OC]"/>
    <tableColumn id="13" name="Fato_Realizado[Lançamento]"/>
    <tableColumn id="14" name="INIC Atual" dataDxfId="1"/>
    <tableColumn id="15" name="Revisado" dataDxfId="2"/>
    <tableColumn id="16" name="Realizado" dataDxfId="3"/>
    <tableColumn id="17" name="observaçã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5"/>
  <sheetViews>
    <sheetView showGridLines="0" tabSelected="1" zoomScale="85" zoomScaleNormal="85" topLeftCell="H57" workbookViewId="0">
      <selection activeCell="P55" sqref="P55"/>
    </sheetView>
  </sheetViews>
  <sheetFormatPr defaultColWidth="9" defaultRowHeight="16.5"/>
  <cols>
    <col min="1" max="1" width="15.2857142857143" customWidth="1"/>
    <col min="2" max="2" width="54.8571428571429" customWidth="1"/>
    <col min="3" max="3" width="243.857142857143" customWidth="1"/>
    <col min="4" max="4" width="26.3333333333333" customWidth="1"/>
    <col min="5" max="5" width="20.4380952380952" customWidth="1"/>
    <col min="6" max="6" width="21" customWidth="1"/>
    <col min="7" max="7" width="20.6666666666667" customWidth="1"/>
    <col min="8" max="8" width="25.1047619047619" customWidth="1"/>
    <col min="9" max="9" width="17.3333333333333" customWidth="1"/>
    <col min="11" max="11" width="21.1047619047619" customWidth="1"/>
    <col min="12" max="12" width="22.6666666666667" customWidth="1"/>
    <col min="13" max="13" width="119" customWidth="1"/>
    <col min="14" max="14" width="11.8857142857143" hidden="1" customWidth="1"/>
    <col min="15" max="15" width="11.4380952380952" hidden="1" customWidth="1"/>
    <col min="16" max="16" width="11.6666666666667" customWidth="1"/>
  </cols>
  <sheetData>
    <row r="1" spans="14:16">
      <c r="N1" s="4">
        <f>SUBTOTAL(9,Tabela5[INIC Atual])</f>
        <v>0</v>
      </c>
      <c r="O1" s="4">
        <f>SUBTOTAL(9,Tabela5[Revisado])</f>
        <v>0</v>
      </c>
      <c r="P1" s="4">
        <f>SUBTOTAL(9,Tabela5[Realizado])</f>
        <v>811616.78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5" t="s">
        <v>13</v>
      </c>
      <c r="O2" s="5" t="s">
        <v>14</v>
      </c>
      <c r="P2" s="5" t="s">
        <v>15</v>
      </c>
      <c r="Q2" t="s">
        <v>16</v>
      </c>
    </row>
    <row r="3" hidden="1" spans="1:16">
      <c r="A3" t="s">
        <v>17</v>
      </c>
      <c r="B3" t="s">
        <v>18</v>
      </c>
      <c r="C3" t="s">
        <v>19</v>
      </c>
      <c r="D3" t="s">
        <v>20</v>
      </c>
      <c r="E3">
        <v>2022</v>
      </c>
      <c r="F3" t="s">
        <v>21</v>
      </c>
      <c r="G3" t="s">
        <v>22</v>
      </c>
      <c r="H3">
        <v>10</v>
      </c>
      <c r="I3">
        <v>65000</v>
      </c>
      <c r="J3" t="s">
        <v>23</v>
      </c>
      <c r="K3" s="3"/>
      <c r="N3" s="6">
        <f>IF(Tabela5[[#This Row],[Dim_Cenario'[Nome Cenario']]]=Tabela5[[#Headers],[INIC Atual]],Tabela5[[#This Row],['[Valores_cenario']]],0)</f>
        <v>65000</v>
      </c>
      <c r="O3" s="6">
        <f>IF(Tabela5[[#This Row],[Dim_Cenario'[Nome Cenario']]]=Tabela5[[#Headers],[Revisado]],Tabela5[[#This Row],['[Valores_cenario']]],0)</f>
        <v>0</v>
      </c>
      <c r="P3" s="6">
        <f>IF(Tabela5[[#This Row],[Dim_Cenario'[Nome Cenario']]]=Tabela5[[#Headers],[Realizado]],Tabela5[[#This Row],['[Valores_cenario']]],0)</f>
        <v>0</v>
      </c>
    </row>
    <row r="4" hidden="1" spans="1:16">
      <c r="A4" t="s">
        <v>17</v>
      </c>
      <c r="B4" t="s">
        <v>18</v>
      </c>
      <c r="C4" t="s">
        <v>19</v>
      </c>
      <c r="D4" t="s">
        <v>20</v>
      </c>
      <c r="E4">
        <v>2022</v>
      </c>
      <c r="F4" t="s">
        <v>21</v>
      </c>
      <c r="G4" t="s">
        <v>24</v>
      </c>
      <c r="H4">
        <v>11</v>
      </c>
      <c r="I4">
        <v>65000</v>
      </c>
      <c r="J4" t="s">
        <v>23</v>
      </c>
      <c r="K4" s="3"/>
      <c r="N4" s="6">
        <f>IF(Tabela5[[#This Row],[Dim_Cenario'[Nome Cenario']]]=Tabela5[[#Headers],[INIC Atual]],Tabela5[[#This Row],['[Valores_cenario']]],0)</f>
        <v>65000</v>
      </c>
      <c r="O4" s="6">
        <f>IF(Tabela5[[#This Row],[Dim_Cenario'[Nome Cenario']]]=Tabela5[[#Headers],[Revisado]],Tabela5[[#This Row],['[Valores_cenario']]],0)</f>
        <v>0</v>
      </c>
      <c r="P4" s="6">
        <f>IF(Tabela5[[#This Row],[Dim_Cenario'[Nome Cenario']]]=Tabela5[[#Headers],[Realizado]],Tabela5[[#This Row],['[Valores_cenario']]],0)</f>
        <v>0</v>
      </c>
    </row>
    <row r="5" hidden="1" spans="1:16">
      <c r="A5" t="s">
        <v>17</v>
      </c>
      <c r="B5" t="s">
        <v>18</v>
      </c>
      <c r="C5" t="s">
        <v>19</v>
      </c>
      <c r="D5" t="s">
        <v>20</v>
      </c>
      <c r="E5">
        <v>2023</v>
      </c>
      <c r="F5" t="s">
        <v>25</v>
      </c>
      <c r="G5" t="s">
        <v>26</v>
      </c>
      <c r="H5">
        <v>2</v>
      </c>
      <c r="I5">
        <v>27505.4</v>
      </c>
      <c r="J5" t="s">
        <v>23</v>
      </c>
      <c r="K5" s="3"/>
      <c r="N5" s="6">
        <f>IF(Tabela5[[#This Row],[Dim_Cenario'[Nome Cenario']]]=Tabela5[[#Headers],[INIC Atual]],Tabela5[[#This Row],['[Valores_cenario']]],0)</f>
        <v>27505.4</v>
      </c>
      <c r="O5" s="6">
        <f>IF(Tabela5[[#This Row],[Dim_Cenario'[Nome Cenario']]]=Tabela5[[#Headers],[Revisado]],Tabela5[[#This Row],['[Valores_cenario']]],0)</f>
        <v>0</v>
      </c>
      <c r="P5" s="6">
        <f>IF(Tabela5[[#This Row],[Dim_Cenario'[Nome Cenario']]]=Tabela5[[#Headers],[Realizado]],Tabela5[[#This Row],['[Valores_cenario']]],0)</f>
        <v>0</v>
      </c>
    </row>
    <row r="6" hidden="1" spans="1:16">
      <c r="A6" t="s">
        <v>17</v>
      </c>
      <c r="B6" t="s">
        <v>18</v>
      </c>
      <c r="C6" t="s">
        <v>19</v>
      </c>
      <c r="D6" t="s">
        <v>20</v>
      </c>
      <c r="E6">
        <v>2023</v>
      </c>
      <c r="F6" t="s">
        <v>27</v>
      </c>
      <c r="G6" t="s">
        <v>28</v>
      </c>
      <c r="H6">
        <v>4</v>
      </c>
      <c r="I6">
        <v>27505.4</v>
      </c>
      <c r="J6" t="s">
        <v>23</v>
      </c>
      <c r="K6" s="3"/>
      <c r="N6" s="6">
        <f>IF(Tabela5[[#This Row],[Dim_Cenario'[Nome Cenario']]]=Tabela5[[#Headers],[INIC Atual]],Tabela5[[#This Row],['[Valores_cenario']]],0)</f>
        <v>27505.4</v>
      </c>
      <c r="O6" s="6">
        <f>IF(Tabela5[[#This Row],[Dim_Cenario'[Nome Cenario']]]=Tabela5[[#Headers],[Revisado]],Tabela5[[#This Row],['[Valores_cenario']]],0)</f>
        <v>0</v>
      </c>
      <c r="P6" s="6">
        <f>IF(Tabela5[[#This Row],[Dim_Cenario'[Nome Cenario']]]=Tabela5[[#Headers],[Realizado]],Tabela5[[#This Row],['[Valores_cenario']]],0)</f>
        <v>0</v>
      </c>
    </row>
    <row r="7" hidden="1" spans="1:16">
      <c r="A7" t="s">
        <v>17</v>
      </c>
      <c r="B7" t="s">
        <v>18</v>
      </c>
      <c r="C7" t="s">
        <v>19</v>
      </c>
      <c r="D7" t="s">
        <v>20</v>
      </c>
      <c r="E7">
        <v>2023</v>
      </c>
      <c r="F7" t="s">
        <v>27</v>
      </c>
      <c r="G7" t="s">
        <v>29</v>
      </c>
      <c r="H7">
        <v>6</v>
      </c>
      <c r="I7">
        <v>27505.4</v>
      </c>
      <c r="J7" t="s">
        <v>23</v>
      </c>
      <c r="K7" s="3"/>
      <c r="N7" s="6">
        <f>IF(Tabela5[[#This Row],[Dim_Cenario'[Nome Cenario']]]=Tabela5[[#Headers],[INIC Atual]],Tabela5[[#This Row],['[Valores_cenario']]],0)</f>
        <v>27505.4</v>
      </c>
      <c r="O7" s="6">
        <f>IF(Tabela5[[#This Row],[Dim_Cenario'[Nome Cenario']]]=Tabela5[[#Headers],[Revisado]],Tabela5[[#This Row],['[Valores_cenario']]],0)</f>
        <v>0</v>
      </c>
      <c r="P7" s="6">
        <f>IF(Tabela5[[#This Row],[Dim_Cenario'[Nome Cenario']]]=Tabela5[[#Headers],[Realizado]],Tabela5[[#This Row],['[Valores_cenario']]],0)</f>
        <v>0</v>
      </c>
    </row>
    <row r="8" hidden="1" spans="1:16">
      <c r="A8" t="s">
        <v>17</v>
      </c>
      <c r="B8" t="s">
        <v>18</v>
      </c>
      <c r="C8" t="s">
        <v>19</v>
      </c>
      <c r="D8" t="s">
        <v>20</v>
      </c>
      <c r="E8">
        <v>2023</v>
      </c>
      <c r="F8" t="s">
        <v>30</v>
      </c>
      <c r="G8" t="s">
        <v>31</v>
      </c>
      <c r="H8">
        <v>8</v>
      </c>
      <c r="I8">
        <v>27505.4</v>
      </c>
      <c r="J8" t="s">
        <v>23</v>
      </c>
      <c r="K8" s="3"/>
      <c r="N8" s="6">
        <f>IF(Tabela5[[#This Row],[Dim_Cenario'[Nome Cenario']]]=Tabela5[[#Headers],[INIC Atual]],Tabela5[[#This Row],['[Valores_cenario']]],0)</f>
        <v>27505.4</v>
      </c>
      <c r="O8" s="6">
        <f>IF(Tabela5[[#This Row],[Dim_Cenario'[Nome Cenario']]]=Tabela5[[#Headers],[Revisado]],Tabela5[[#This Row],['[Valores_cenario']]],0)</f>
        <v>0</v>
      </c>
      <c r="P8" s="6">
        <f>IF(Tabela5[[#This Row],[Dim_Cenario'[Nome Cenario']]]=Tabela5[[#Headers],[Realizado]],Tabela5[[#This Row],['[Valores_cenario']]],0)</f>
        <v>0</v>
      </c>
    </row>
    <row r="9" hidden="1" spans="1:16">
      <c r="A9" t="s">
        <v>17</v>
      </c>
      <c r="B9" t="s">
        <v>18</v>
      </c>
      <c r="C9" t="s">
        <v>19</v>
      </c>
      <c r="D9" t="s">
        <v>20</v>
      </c>
      <c r="E9">
        <v>2023</v>
      </c>
      <c r="F9" t="s">
        <v>21</v>
      </c>
      <c r="G9" t="s">
        <v>22</v>
      </c>
      <c r="H9">
        <v>10</v>
      </c>
      <c r="I9">
        <v>27505.4</v>
      </c>
      <c r="J9" t="s">
        <v>23</v>
      </c>
      <c r="K9" s="3"/>
      <c r="N9" s="6">
        <f>IF(Tabela5[[#This Row],[Dim_Cenario'[Nome Cenario']]]=Tabela5[[#Headers],[INIC Atual]],Tabela5[[#This Row],['[Valores_cenario']]],0)</f>
        <v>27505.4</v>
      </c>
      <c r="O9" s="6">
        <f>IF(Tabela5[[#This Row],[Dim_Cenario'[Nome Cenario']]]=Tabela5[[#Headers],[Revisado]],Tabela5[[#This Row],['[Valores_cenario']]],0)</f>
        <v>0</v>
      </c>
      <c r="P9" s="6">
        <f>IF(Tabela5[[#This Row],[Dim_Cenario'[Nome Cenario']]]=Tabela5[[#Headers],[Realizado]],Tabela5[[#This Row],['[Valores_cenario']]],0)</f>
        <v>0</v>
      </c>
    </row>
    <row r="10" hidden="1" spans="1:16">
      <c r="A10" t="s">
        <v>17</v>
      </c>
      <c r="B10" t="s">
        <v>18</v>
      </c>
      <c r="C10" t="s">
        <v>19</v>
      </c>
      <c r="D10" t="s">
        <v>20</v>
      </c>
      <c r="E10">
        <v>2024</v>
      </c>
      <c r="F10" t="s">
        <v>21</v>
      </c>
      <c r="G10" t="s">
        <v>32</v>
      </c>
      <c r="H10">
        <v>12</v>
      </c>
      <c r="I10">
        <v>33203.249</v>
      </c>
      <c r="J10" t="s">
        <v>23</v>
      </c>
      <c r="K10" s="3"/>
      <c r="N10" s="6">
        <f>IF(Tabela5[[#This Row],[Dim_Cenario'[Nome Cenario']]]=Tabela5[[#Headers],[INIC Atual]],Tabela5[[#This Row],['[Valores_cenario']]],0)</f>
        <v>33203.249</v>
      </c>
      <c r="O10" s="6">
        <f>IF(Tabela5[[#This Row],[Dim_Cenario'[Nome Cenario']]]=Tabela5[[#Headers],[Revisado]],Tabela5[[#This Row],['[Valores_cenario']]],0)</f>
        <v>0</v>
      </c>
      <c r="P10" s="6">
        <f>IF(Tabela5[[#This Row],[Dim_Cenario'[Nome Cenario']]]=Tabela5[[#Headers],[Realizado]],Tabela5[[#This Row],['[Valores_cenario']]],0)</f>
        <v>0</v>
      </c>
    </row>
    <row r="11" hidden="1" spans="1:16">
      <c r="A11" t="s">
        <v>17</v>
      </c>
      <c r="B11" t="s">
        <v>18</v>
      </c>
      <c r="C11" t="s">
        <v>19</v>
      </c>
      <c r="D11" t="s">
        <v>20</v>
      </c>
      <c r="E11">
        <v>2025</v>
      </c>
      <c r="F11" t="s">
        <v>25</v>
      </c>
      <c r="G11" t="s">
        <v>26</v>
      </c>
      <c r="H11">
        <v>2</v>
      </c>
      <c r="I11">
        <v>60508.08</v>
      </c>
      <c r="J11" t="s">
        <v>33</v>
      </c>
      <c r="K11" s="3"/>
      <c r="N11" s="6">
        <f>IF(Tabela5[[#This Row],[Dim_Cenario'[Nome Cenario']]]=Tabela5[[#Headers],[INIC Atual]],Tabela5[[#This Row],['[Valores_cenario']]],0)</f>
        <v>60508.08</v>
      </c>
      <c r="O11" s="6">
        <f>IF(Tabela5[[#This Row],[Dim_Cenario'[Nome Cenario']]]=Tabela5[[#Headers],[Revisado]],Tabela5[[#This Row],['[Valores_cenario']]],0)</f>
        <v>0</v>
      </c>
      <c r="P11" s="6">
        <f>IF(Tabela5[[#This Row],[Dim_Cenario'[Nome Cenario']]]=Tabela5[[#Headers],[Realizado]],Tabela5[[#This Row],['[Valores_cenario']]],0)</f>
        <v>0</v>
      </c>
    </row>
    <row r="12" hidden="1" spans="1:16">
      <c r="A12" t="s">
        <v>17</v>
      </c>
      <c r="B12" t="s">
        <v>18</v>
      </c>
      <c r="C12" t="s">
        <v>19</v>
      </c>
      <c r="D12" t="s">
        <v>20</v>
      </c>
      <c r="E12">
        <v>2025</v>
      </c>
      <c r="F12" t="s">
        <v>27</v>
      </c>
      <c r="G12" t="s">
        <v>28</v>
      </c>
      <c r="H12">
        <v>4</v>
      </c>
      <c r="I12">
        <v>60508.08</v>
      </c>
      <c r="J12" t="s">
        <v>33</v>
      </c>
      <c r="K12" s="3"/>
      <c r="N12" s="6">
        <f>IF(Tabela5[[#This Row],[Dim_Cenario'[Nome Cenario']]]=Tabela5[[#Headers],[INIC Atual]],Tabela5[[#This Row],['[Valores_cenario']]],0)</f>
        <v>60508.08</v>
      </c>
      <c r="O12" s="6">
        <f>IF(Tabela5[[#This Row],[Dim_Cenario'[Nome Cenario']]]=Tabela5[[#Headers],[Revisado]],Tabela5[[#This Row],['[Valores_cenario']]],0)</f>
        <v>0</v>
      </c>
      <c r="P12" s="6">
        <f>IF(Tabela5[[#This Row],[Dim_Cenario'[Nome Cenario']]]=Tabela5[[#Headers],[Realizado]],Tabela5[[#This Row],['[Valores_cenario']]],0)</f>
        <v>0</v>
      </c>
    </row>
    <row r="13" hidden="1" spans="1:16">
      <c r="A13" t="s">
        <v>17</v>
      </c>
      <c r="B13" t="s">
        <v>18</v>
      </c>
      <c r="C13" t="s">
        <v>19</v>
      </c>
      <c r="D13" t="s">
        <v>20</v>
      </c>
      <c r="E13">
        <v>2025</v>
      </c>
      <c r="F13" t="s">
        <v>27</v>
      </c>
      <c r="G13" t="s">
        <v>29</v>
      </c>
      <c r="H13">
        <v>6</v>
      </c>
      <c r="I13">
        <v>60508.08</v>
      </c>
      <c r="J13" t="s">
        <v>33</v>
      </c>
      <c r="K13" s="3"/>
      <c r="N13" s="6">
        <f>IF(Tabela5[[#This Row],[Dim_Cenario'[Nome Cenario']]]=Tabela5[[#Headers],[INIC Atual]],Tabela5[[#This Row],['[Valores_cenario']]],0)</f>
        <v>60508.08</v>
      </c>
      <c r="O13" s="6">
        <f>IF(Tabela5[[#This Row],[Dim_Cenario'[Nome Cenario']]]=Tabela5[[#Headers],[Revisado]],Tabela5[[#This Row],['[Valores_cenario']]],0)</f>
        <v>0</v>
      </c>
      <c r="P13" s="6">
        <f>IF(Tabela5[[#This Row],[Dim_Cenario'[Nome Cenario']]]=Tabela5[[#Headers],[Realizado]],Tabela5[[#This Row],['[Valores_cenario']]],0)</f>
        <v>0</v>
      </c>
    </row>
    <row r="14" hidden="1" spans="1:16">
      <c r="A14" t="s">
        <v>17</v>
      </c>
      <c r="B14" t="s">
        <v>18</v>
      </c>
      <c r="C14" t="s">
        <v>19</v>
      </c>
      <c r="D14" t="s">
        <v>20</v>
      </c>
      <c r="E14">
        <v>2025</v>
      </c>
      <c r="F14" t="s">
        <v>30</v>
      </c>
      <c r="G14" t="s">
        <v>31</v>
      </c>
      <c r="H14">
        <v>8</v>
      </c>
      <c r="I14">
        <v>60508.08</v>
      </c>
      <c r="J14" t="s">
        <v>33</v>
      </c>
      <c r="K14" s="3"/>
      <c r="N14" s="6">
        <f>IF(Tabela5[[#This Row],[Dim_Cenario'[Nome Cenario']]]=Tabela5[[#Headers],[INIC Atual]],Tabela5[[#This Row],['[Valores_cenario']]],0)</f>
        <v>60508.08</v>
      </c>
      <c r="O14" s="6">
        <f>IF(Tabela5[[#This Row],[Dim_Cenario'[Nome Cenario']]]=Tabela5[[#Headers],[Revisado]],Tabela5[[#This Row],['[Valores_cenario']]],0)</f>
        <v>0</v>
      </c>
      <c r="P14" s="6">
        <f>IF(Tabela5[[#This Row],[Dim_Cenario'[Nome Cenario']]]=Tabela5[[#Headers],[Realizado]],Tabela5[[#This Row],['[Valores_cenario']]],0)</f>
        <v>0</v>
      </c>
    </row>
    <row r="15" hidden="1" spans="1:16">
      <c r="A15" t="s">
        <v>17</v>
      </c>
      <c r="B15" t="s">
        <v>18</v>
      </c>
      <c r="C15" t="s">
        <v>19</v>
      </c>
      <c r="D15" t="s">
        <v>20</v>
      </c>
      <c r="E15">
        <v>2025</v>
      </c>
      <c r="F15" t="s">
        <v>21</v>
      </c>
      <c r="G15" t="s">
        <v>22</v>
      </c>
      <c r="H15">
        <v>10</v>
      </c>
      <c r="I15">
        <v>60508.08</v>
      </c>
      <c r="J15" t="s">
        <v>33</v>
      </c>
      <c r="K15" s="3"/>
      <c r="N15" s="6">
        <f>IF(Tabela5[[#This Row],[Dim_Cenario'[Nome Cenario']]]=Tabela5[[#Headers],[INIC Atual]],Tabela5[[#This Row],['[Valores_cenario']]],0)</f>
        <v>60508.08</v>
      </c>
      <c r="O15" s="6">
        <f>IF(Tabela5[[#This Row],[Dim_Cenario'[Nome Cenario']]]=Tabela5[[#Headers],[Revisado]],Tabela5[[#This Row],['[Valores_cenario']]],0)</f>
        <v>0</v>
      </c>
      <c r="P15" s="6">
        <f>IF(Tabela5[[#This Row],[Dim_Cenario'[Nome Cenario']]]=Tabela5[[#Headers],[Realizado]],Tabela5[[#This Row],['[Valores_cenario']]],0)</f>
        <v>0</v>
      </c>
    </row>
    <row r="16" hidden="1" spans="1:16">
      <c r="A16" t="s">
        <v>17</v>
      </c>
      <c r="B16" t="s">
        <v>18</v>
      </c>
      <c r="C16" t="s">
        <v>19</v>
      </c>
      <c r="D16" t="s">
        <v>20</v>
      </c>
      <c r="E16">
        <v>2026</v>
      </c>
      <c r="F16" t="s">
        <v>25</v>
      </c>
      <c r="G16" t="s">
        <v>26</v>
      </c>
      <c r="H16">
        <v>2</v>
      </c>
      <c r="I16">
        <v>27070.8</v>
      </c>
      <c r="J16" t="s">
        <v>33</v>
      </c>
      <c r="K16" s="3"/>
      <c r="N16" s="6">
        <f>IF(Tabela5[[#This Row],[Dim_Cenario'[Nome Cenario']]]=Tabela5[[#Headers],[INIC Atual]],Tabela5[[#This Row],['[Valores_cenario']]],0)</f>
        <v>27070.8</v>
      </c>
      <c r="O16" s="6">
        <f>IF(Tabela5[[#This Row],[Dim_Cenario'[Nome Cenario']]]=Tabela5[[#Headers],[Revisado]],Tabela5[[#This Row],['[Valores_cenario']]],0)</f>
        <v>0</v>
      </c>
      <c r="P16" s="6">
        <f>IF(Tabela5[[#This Row],[Dim_Cenario'[Nome Cenario']]]=Tabela5[[#Headers],[Realizado]],Tabela5[[#This Row],['[Valores_cenario']]],0)</f>
        <v>0</v>
      </c>
    </row>
    <row r="17" hidden="1" spans="1:16">
      <c r="A17" t="s">
        <v>17</v>
      </c>
      <c r="B17" t="s">
        <v>18</v>
      </c>
      <c r="C17" t="s">
        <v>19</v>
      </c>
      <c r="D17" t="s">
        <v>20</v>
      </c>
      <c r="E17">
        <v>2026</v>
      </c>
      <c r="F17" t="s">
        <v>27</v>
      </c>
      <c r="G17" t="s">
        <v>28</v>
      </c>
      <c r="H17">
        <v>4</v>
      </c>
      <c r="I17">
        <v>27070.8</v>
      </c>
      <c r="J17" t="s">
        <v>33</v>
      </c>
      <c r="K17" s="3"/>
      <c r="N17" s="6">
        <f>IF(Tabela5[[#This Row],[Dim_Cenario'[Nome Cenario']]]=Tabela5[[#Headers],[INIC Atual]],Tabela5[[#This Row],['[Valores_cenario']]],0)</f>
        <v>27070.8</v>
      </c>
      <c r="O17" s="6">
        <f>IF(Tabela5[[#This Row],[Dim_Cenario'[Nome Cenario']]]=Tabela5[[#Headers],[Revisado]],Tabela5[[#This Row],['[Valores_cenario']]],0)</f>
        <v>0</v>
      </c>
      <c r="P17" s="6">
        <f>IF(Tabela5[[#This Row],[Dim_Cenario'[Nome Cenario']]]=Tabela5[[#Headers],[Realizado]],Tabela5[[#This Row],['[Valores_cenario']]],0)</f>
        <v>0</v>
      </c>
    </row>
    <row r="18" hidden="1" spans="1:16">
      <c r="A18" t="s">
        <v>17</v>
      </c>
      <c r="B18" t="s">
        <v>18</v>
      </c>
      <c r="C18" t="s">
        <v>19</v>
      </c>
      <c r="D18" t="s">
        <v>20</v>
      </c>
      <c r="E18">
        <v>2026</v>
      </c>
      <c r="F18" t="s">
        <v>27</v>
      </c>
      <c r="G18" t="s">
        <v>29</v>
      </c>
      <c r="H18">
        <v>6</v>
      </c>
      <c r="I18">
        <v>27070.8</v>
      </c>
      <c r="J18" t="s">
        <v>33</v>
      </c>
      <c r="K18" s="3"/>
      <c r="N18" s="6">
        <f>IF(Tabela5[[#This Row],[Dim_Cenario'[Nome Cenario']]]=Tabela5[[#Headers],[INIC Atual]],Tabela5[[#This Row],['[Valores_cenario']]],0)</f>
        <v>27070.8</v>
      </c>
      <c r="O18" s="6">
        <f>IF(Tabela5[[#This Row],[Dim_Cenario'[Nome Cenario']]]=Tabela5[[#Headers],[Revisado]],Tabela5[[#This Row],['[Valores_cenario']]],0)</f>
        <v>0</v>
      </c>
      <c r="P18" s="6">
        <f>IF(Tabela5[[#This Row],[Dim_Cenario'[Nome Cenario']]]=Tabela5[[#Headers],[Realizado]],Tabela5[[#This Row],['[Valores_cenario']]],0)</f>
        <v>0</v>
      </c>
    </row>
    <row r="19" hidden="1" spans="1:16">
      <c r="A19" t="s">
        <v>17</v>
      </c>
      <c r="B19" t="s">
        <v>18</v>
      </c>
      <c r="C19" t="s">
        <v>19</v>
      </c>
      <c r="D19" t="s">
        <v>20</v>
      </c>
      <c r="E19">
        <v>2026</v>
      </c>
      <c r="F19" t="s">
        <v>30</v>
      </c>
      <c r="G19" t="s">
        <v>31</v>
      </c>
      <c r="H19">
        <v>8</v>
      </c>
      <c r="I19">
        <v>27070.8</v>
      </c>
      <c r="J19" t="s">
        <v>33</v>
      </c>
      <c r="K19" s="3"/>
      <c r="N19" s="6">
        <f>IF(Tabela5[[#This Row],[Dim_Cenario'[Nome Cenario']]]=Tabela5[[#Headers],[INIC Atual]],Tabela5[[#This Row],['[Valores_cenario']]],0)</f>
        <v>27070.8</v>
      </c>
      <c r="O19" s="6">
        <f>IF(Tabela5[[#This Row],[Dim_Cenario'[Nome Cenario']]]=Tabela5[[#Headers],[Revisado]],Tabela5[[#This Row],['[Valores_cenario']]],0)</f>
        <v>0</v>
      </c>
      <c r="P19" s="6">
        <f>IF(Tabela5[[#This Row],[Dim_Cenario'[Nome Cenario']]]=Tabela5[[#Headers],[Realizado]],Tabela5[[#This Row],['[Valores_cenario']]],0)</f>
        <v>0</v>
      </c>
    </row>
    <row r="20" hidden="1" spans="1:16">
      <c r="A20" t="s">
        <v>17</v>
      </c>
      <c r="B20" t="s">
        <v>18</v>
      </c>
      <c r="C20" t="s">
        <v>19</v>
      </c>
      <c r="D20" t="s">
        <v>20</v>
      </c>
      <c r="E20">
        <v>2026</v>
      </c>
      <c r="F20" t="s">
        <v>21</v>
      </c>
      <c r="G20" t="s">
        <v>22</v>
      </c>
      <c r="H20">
        <v>10</v>
      </c>
      <c r="I20">
        <v>27070.8</v>
      </c>
      <c r="J20" t="s">
        <v>33</v>
      </c>
      <c r="K20" s="3"/>
      <c r="N20" s="6">
        <f>IF(Tabela5[[#This Row],[Dim_Cenario'[Nome Cenario']]]=Tabela5[[#Headers],[INIC Atual]],Tabela5[[#This Row],['[Valores_cenario']]],0)</f>
        <v>27070.8</v>
      </c>
      <c r="O20" s="6">
        <f>IF(Tabela5[[#This Row],[Dim_Cenario'[Nome Cenario']]]=Tabela5[[#Headers],[Revisado]],Tabela5[[#This Row],['[Valores_cenario']]],0)</f>
        <v>0</v>
      </c>
      <c r="P20" s="6">
        <f>IF(Tabela5[[#This Row],[Dim_Cenario'[Nome Cenario']]]=Tabela5[[#Headers],[Realizado]],Tabela5[[#This Row],['[Valores_cenario']]],0)</f>
        <v>0</v>
      </c>
    </row>
    <row r="21" hidden="1" spans="1:16">
      <c r="A21" t="s">
        <v>17</v>
      </c>
      <c r="B21" t="s">
        <v>18</v>
      </c>
      <c r="C21" t="s">
        <v>19</v>
      </c>
      <c r="D21" t="s">
        <v>20</v>
      </c>
      <c r="E21">
        <v>2026</v>
      </c>
      <c r="F21" t="s">
        <v>21</v>
      </c>
      <c r="G21" t="s">
        <v>32</v>
      </c>
      <c r="H21">
        <v>12</v>
      </c>
      <c r="I21">
        <v>27070.8</v>
      </c>
      <c r="J21" t="s">
        <v>33</v>
      </c>
      <c r="K21" s="3"/>
      <c r="N21" s="6">
        <f>IF(Tabela5[[#This Row],[Dim_Cenario'[Nome Cenario']]]=Tabela5[[#Headers],[INIC Atual]],Tabela5[[#This Row],['[Valores_cenario']]],0)</f>
        <v>27070.8</v>
      </c>
      <c r="O21" s="6">
        <f>IF(Tabela5[[#This Row],[Dim_Cenario'[Nome Cenario']]]=Tabela5[[#Headers],[Revisado]],Tabela5[[#This Row],['[Valores_cenario']]],0)</f>
        <v>0</v>
      </c>
      <c r="P21" s="6">
        <f>IF(Tabela5[[#This Row],[Dim_Cenario'[Nome Cenario']]]=Tabela5[[#Headers],[Realizado]],Tabela5[[#This Row],['[Valores_cenario']]],0)</f>
        <v>0</v>
      </c>
    </row>
    <row r="22" hidden="1" spans="1:16">
      <c r="A22" t="s">
        <v>17</v>
      </c>
      <c r="B22" t="s">
        <v>18</v>
      </c>
      <c r="C22" t="s">
        <v>19</v>
      </c>
      <c r="D22" t="s">
        <v>20</v>
      </c>
      <c r="E22">
        <v>2027</v>
      </c>
      <c r="F22" t="s">
        <v>25</v>
      </c>
      <c r="G22" t="s">
        <v>26</v>
      </c>
      <c r="H22">
        <v>2</v>
      </c>
      <c r="I22">
        <v>63088.39</v>
      </c>
      <c r="J22" t="s">
        <v>33</v>
      </c>
      <c r="K22" s="3"/>
      <c r="N22" s="6">
        <f>IF(Tabela5[[#This Row],[Dim_Cenario'[Nome Cenario']]]=Tabela5[[#Headers],[INIC Atual]],Tabela5[[#This Row],['[Valores_cenario']]],0)</f>
        <v>63088.39</v>
      </c>
      <c r="O22" s="6">
        <f>IF(Tabela5[[#This Row],[Dim_Cenario'[Nome Cenario']]]=Tabela5[[#Headers],[Revisado]],Tabela5[[#This Row],['[Valores_cenario']]],0)</f>
        <v>0</v>
      </c>
      <c r="P22" s="6">
        <f>IF(Tabela5[[#This Row],[Dim_Cenario'[Nome Cenario']]]=Tabela5[[#Headers],[Realizado]],Tabela5[[#This Row],['[Valores_cenario']]],0)</f>
        <v>0</v>
      </c>
    </row>
    <row r="23" hidden="1" spans="1:16">
      <c r="A23" t="s">
        <v>17</v>
      </c>
      <c r="B23" t="s">
        <v>18</v>
      </c>
      <c r="C23" t="s">
        <v>19</v>
      </c>
      <c r="D23" t="s">
        <v>20</v>
      </c>
      <c r="E23">
        <v>2027</v>
      </c>
      <c r="F23" t="s">
        <v>27</v>
      </c>
      <c r="G23" t="s">
        <v>28</v>
      </c>
      <c r="H23">
        <v>4</v>
      </c>
      <c r="I23">
        <v>63088.39</v>
      </c>
      <c r="J23" t="s">
        <v>33</v>
      </c>
      <c r="K23" s="3"/>
      <c r="N23" s="6">
        <f>IF(Tabela5[[#This Row],[Dim_Cenario'[Nome Cenario']]]=Tabela5[[#Headers],[INIC Atual]],Tabela5[[#This Row],['[Valores_cenario']]],0)</f>
        <v>63088.39</v>
      </c>
      <c r="O23" s="6">
        <f>IF(Tabela5[[#This Row],[Dim_Cenario'[Nome Cenario']]]=Tabela5[[#Headers],[Revisado]],Tabela5[[#This Row],['[Valores_cenario']]],0)</f>
        <v>0</v>
      </c>
      <c r="P23" s="6">
        <f>IF(Tabela5[[#This Row],[Dim_Cenario'[Nome Cenario']]]=Tabela5[[#Headers],[Realizado]],Tabela5[[#This Row],['[Valores_cenario']]],0)</f>
        <v>0</v>
      </c>
    </row>
    <row r="24" hidden="1" spans="1:16">
      <c r="A24" t="s">
        <v>17</v>
      </c>
      <c r="B24" t="s">
        <v>18</v>
      </c>
      <c r="C24" t="s">
        <v>19</v>
      </c>
      <c r="D24" t="s">
        <v>20</v>
      </c>
      <c r="E24">
        <v>2027</v>
      </c>
      <c r="F24" t="s">
        <v>27</v>
      </c>
      <c r="G24" t="s">
        <v>29</v>
      </c>
      <c r="H24">
        <v>6</v>
      </c>
      <c r="I24">
        <v>63088.39</v>
      </c>
      <c r="J24" t="s">
        <v>33</v>
      </c>
      <c r="K24" s="3"/>
      <c r="N24" s="6">
        <f>IF(Tabela5[[#This Row],[Dim_Cenario'[Nome Cenario']]]=Tabela5[[#Headers],[INIC Atual]],Tabela5[[#This Row],['[Valores_cenario']]],0)</f>
        <v>63088.39</v>
      </c>
      <c r="O24" s="6">
        <f>IF(Tabela5[[#This Row],[Dim_Cenario'[Nome Cenario']]]=Tabela5[[#Headers],[Revisado]],Tabela5[[#This Row],['[Valores_cenario']]],0)</f>
        <v>0</v>
      </c>
      <c r="P24" s="6">
        <f>IF(Tabela5[[#This Row],[Dim_Cenario'[Nome Cenario']]]=Tabela5[[#Headers],[Realizado]],Tabela5[[#This Row],['[Valores_cenario']]],0)</f>
        <v>0</v>
      </c>
    </row>
    <row r="25" hidden="1" spans="1:16">
      <c r="A25" t="s">
        <v>17</v>
      </c>
      <c r="B25" t="s">
        <v>18</v>
      </c>
      <c r="C25" t="s">
        <v>19</v>
      </c>
      <c r="D25" t="s">
        <v>20</v>
      </c>
      <c r="E25">
        <v>2027</v>
      </c>
      <c r="F25" t="s">
        <v>30</v>
      </c>
      <c r="G25" t="s">
        <v>31</v>
      </c>
      <c r="H25">
        <v>8</v>
      </c>
      <c r="I25">
        <v>63088.39</v>
      </c>
      <c r="J25" t="s">
        <v>33</v>
      </c>
      <c r="K25" s="3"/>
      <c r="N25" s="6">
        <f>IF(Tabela5[[#This Row],[Dim_Cenario'[Nome Cenario']]]=Tabela5[[#Headers],[INIC Atual]],Tabela5[[#This Row],['[Valores_cenario']]],0)</f>
        <v>63088.39</v>
      </c>
      <c r="O25" s="6">
        <f>IF(Tabela5[[#This Row],[Dim_Cenario'[Nome Cenario']]]=Tabela5[[#Headers],[Revisado]],Tabela5[[#This Row],['[Valores_cenario']]],0)</f>
        <v>0</v>
      </c>
      <c r="P25" s="6">
        <f>IF(Tabela5[[#This Row],[Dim_Cenario'[Nome Cenario']]]=Tabela5[[#Headers],[Realizado]],Tabela5[[#This Row],['[Valores_cenario']]],0)</f>
        <v>0</v>
      </c>
    </row>
    <row r="26" hidden="1" spans="1:16">
      <c r="A26" t="s">
        <v>17</v>
      </c>
      <c r="B26" t="s">
        <v>18</v>
      </c>
      <c r="C26" t="s">
        <v>19</v>
      </c>
      <c r="D26" t="s">
        <v>20</v>
      </c>
      <c r="E26">
        <v>2027</v>
      </c>
      <c r="F26" t="s">
        <v>21</v>
      </c>
      <c r="G26" t="s">
        <v>22</v>
      </c>
      <c r="H26">
        <v>10</v>
      </c>
      <c r="I26">
        <v>63088.39</v>
      </c>
      <c r="J26" t="s">
        <v>33</v>
      </c>
      <c r="K26" s="3"/>
      <c r="N26" s="6">
        <f>IF(Tabela5[[#This Row],[Dim_Cenario'[Nome Cenario']]]=Tabela5[[#Headers],[INIC Atual]],Tabela5[[#This Row],['[Valores_cenario']]],0)</f>
        <v>63088.39</v>
      </c>
      <c r="O26" s="6">
        <f>IF(Tabela5[[#This Row],[Dim_Cenario'[Nome Cenario']]]=Tabela5[[#Headers],[Revisado]],Tabela5[[#This Row],['[Valores_cenario']]],0)</f>
        <v>0</v>
      </c>
      <c r="P26" s="6">
        <f>IF(Tabela5[[#This Row],[Dim_Cenario'[Nome Cenario']]]=Tabela5[[#Headers],[Realizado]],Tabela5[[#This Row],['[Valores_cenario']]],0)</f>
        <v>0</v>
      </c>
    </row>
    <row r="27" hidden="1" spans="1:16">
      <c r="A27" t="s">
        <v>17</v>
      </c>
      <c r="B27" t="s">
        <v>18</v>
      </c>
      <c r="C27" t="s">
        <v>34</v>
      </c>
      <c r="D27" t="s">
        <v>20</v>
      </c>
      <c r="E27">
        <v>2019</v>
      </c>
      <c r="F27" t="s">
        <v>25</v>
      </c>
      <c r="G27" t="s">
        <v>35</v>
      </c>
      <c r="H27">
        <v>1</v>
      </c>
      <c r="I27">
        <v>12135.32</v>
      </c>
      <c r="J27" t="s">
        <v>36</v>
      </c>
      <c r="K27" s="3"/>
      <c r="N27" s="6">
        <f>IF(Tabela5[[#This Row],[Dim_Cenario'[Nome Cenario']]]=Tabela5[[#Headers],[INIC Atual]],Tabela5[[#This Row],['[Valores_cenario']]],0)</f>
        <v>12135.32</v>
      </c>
      <c r="O27" s="6">
        <f>IF(Tabela5[[#This Row],[Dim_Cenario'[Nome Cenario']]]=Tabela5[[#Headers],[Revisado]],Tabela5[[#This Row],['[Valores_cenario']]],0)</f>
        <v>0</v>
      </c>
      <c r="P27" s="6">
        <f>IF(Tabela5[[#This Row],[Dim_Cenario'[Nome Cenario']]]=Tabela5[[#Headers],[Realizado]],Tabela5[[#This Row],['[Valores_cenario']]],0)</f>
        <v>0</v>
      </c>
    </row>
    <row r="28" hidden="1" spans="1:16">
      <c r="A28" t="s">
        <v>17</v>
      </c>
      <c r="B28" t="s">
        <v>18</v>
      </c>
      <c r="C28" t="s">
        <v>37</v>
      </c>
      <c r="D28" t="s">
        <v>20</v>
      </c>
      <c r="E28">
        <v>2019</v>
      </c>
      <c r="F28" t="s">
        <v>25</v>
      </c>
      <c r="G28" t="s">
        <v>26</v>
      </c>
      <c r="H28">
        <v>2</v>
      </c>
      <c r="I28">
        <v>14696.89</v>
      </c>
      <c r="J28" t="s">
        <v>36</v>
      </c>
      <c r="K28" s="3"/>
      <c r="N28" s="6">
        <f>IF(Tabela5[[#This Row],[Dim_Cenario'[Nome Cenario']]]=Tabela5[[#Headers],[INIC Atual]],Tabela5[[#This Row],['[Valores_cenario']]],0)</f>
        <v>14696.89</v>
      </c>
      <c r="O28" s="6">
        <f>IF(Tabela5[[#This Row],[Dim_Cenario'[Nome Cenario']]]=Tabela5[[#Headers],[Revisado]],Tabela5[[#This Row],['[Valores_cenario']]],0)</f>
        <v>0</v>
      </c>
      <c r="P28" s="6">
        <f>IF(Tabela5[[#This Row],[Dim_Cenario'[Nome Cenario']]]=Tabela5[[#Headers],[Realizado]],Tabela5[[#This Row],['[Valores_cenario']]],0)</f>
        <v>0</v>
      </c>
    </row>
    <row r="29" hidden="1" spans="1:16">
      <c r="A29" t="s">
        <v>17</v>
      </c>
      <c r="B29" t="s">
        <v>18</v>
      </c>
      <c r="C29" t="s">
        <v>37</v>
      </c>
      <c r="D29" t="s">
        <v>20</v>
      </c>
      <c r="E29">
        <v>2019</v>
      </c>
      <c r="F29" t="s">
        <v>25</v>
      </c>
      <c r="G29" t="s">
        <v>38</v>
      </c>
      <c r="H29">
        <v>3</v>
      </c>
      <c r="I29">
        <v>20143.28</v>
      </c>
      <c r="J29" t="s">
        <v>36</v>
      </c>
      <c r="K29" s="3"/>
      <c r="N29" s="6">
        <f>IF(Tabela5[[#This Row],[Dim_Cenario'[Nome Cenario']]]=Tabela5[[#Headers],[INIC Atual]],Tabela5[[#This Row],['[Valores_cenario']]],0)</f>
        <v>20143.28</v>
      </c>
      <c r="O29" s="6">
        <f>IF(Tabela5[[#This Row],[Dim_Cenario'[Nome Cenario']]]=Tabela5[[#Headers],[Revisado]],Tabela5[[#This Row],['[Valores_cenario']]],0)</f>
        <v>0</v>
      </c>
      <c r="P29" s="6">
        <f>IF(Tabela5[[#This Row],[Dim_Cenario'[Nome Cenario']]]=Tabela5[[#Headers],[Realizado]],Tabela5[[#This Row],['[Valores_cenario']]],0)</f>
        <v>0</v>
      </c>
    </row>
    <row r="30" hidden="1" spans="1:16">
      <c r="A30" t="s">
        <v>17</v>
      </c>
      <c r="B30" t="s">
        <v>18</v>
      </c>
      <c r="C30" t="s">
        <v>37</v>
      </c>
      <c r="D30" t="s">
        <v>20</v>
      </c>
      <c r="E30">
        <v>2019</v>
      </c>
      <c r="F30" t="s">
        <v>27</v>
      </c>
      <c r="G30" t="s">
        <v>28</v>
      </c>
      <c r="H30">
        <v>4</v>
      </c>
      <c r="I30">
        <v>82249.86</v>
      </c>
      <c r="J30" t="s">
        <v>36</v>
      </c>
      <c r="K30" s="3"/>
      <c r="N30" s="6">
        <f>IF(Tabela5[[#This Row],[Dim_Cenario'[Nome Cenario']]]=Tabela5[[#Headers],[INIC Atual]],Tabela5[[#This Row],['[Valores_cenario']]],0)</f>
        <v>82249.86</v>
      </c>
      <c r="O30" s="6">
        <f>IF(Tabela5[[#This Row],[Dim_Cenario'[Nome Cenario']]]=Tabela5[[#Headers],[Revisado]],Tabela5[[#This Row],['[Valores_cenario']]],0)</f>
        <v>0</v>
      </c>
      <c r="P30" s="6">
        <f>IF(Tabela5[[#This Row],[Dim_Cenario'[Nome Cenario']]]=Tabela5[[#Headers],[Realizado]],Tabela5[[#This Row],['[Valores_cenario']]],0)</f>
        <v>0</v>
      </c>
    </row>
    <row r="31" hidden="1" spans="1:16">
      <c r="A31" t="s">
        <v>17</v>
      </c>
      <c r="B31" t="s">
        <v>18</v>
      </c>
      <c r="C31" t="s">
        <v>37</v>
      </c>
      <c r="D31" t="s">
        <v>20</v>
      </c>
      <c r="E31">
        <v>2019</v>
      </c>
      <c r="F31" t="s">
        <v>27</v>
      </c>
      <c r="G31" t="s">
        <v>39</v>
      </c>
      <c r="H31">
        <v>5</v>
      </c>
      <c r="I31">
        <v>9803.42</v>
      </c>
      <c r="J31" t="s">
        <v>36</v>
      </c>
      <c r="K31" s="3"/>
      <c r="N31" s="6">
        <f>IF(Tabela5[[#This Row],[Dim_Cenario'[Nome Cenario']]]=Tabela5[[#Headers],[INIC Atual]],Tabela5[[#This Row],['[Valores_cenario']]],0)</f>
        <v>9803.42</v>
      </c>
      <c r="O31" s="6">
        <f>IF(Tabela5[[#This Row],[Dim_Cenario'[Nome Cenario']]]=Tabela5[[#Headers],[Revisado]],Tabela5[[#This Row],['[Valores_cenario']]],0)</f>
        <v>0</v>
      </c>
      <c r="P31" s="6">
        <f>IF(Tabela5[[#This Row],[Dim_Cenario'[Nome Cenario']]]=Tabela5[[#Headers],[Realizado]],Tabela5[[#This Row],['[Valores_cenario']]],0)</f>
        <v>0</v>
      </c>
    </row>
    <row r="32" hidden="1" spans="1:16">
      <c r="A32" t="s">
        <v>17</v>
      </c>
      <c r="B32" t="s">
        <v>18</v>
      </c>
      <c r="C32" t="s">
        <v>37</v>
      </c>
      <c r="D32" t="s">
        <v>20</v>
      </c>
      <c r="E32">
        <v>2019</v>
      </c>
      <c r="F32" t="s">
        <v>27</v>
      </c>
      <c r="G32" t="s">
        <v>29</v>
      </c>
      <c r="H32">
        <v>6</v>
      </c>
      <c r="I32">
        <v>16474.46</v>
      </c>
      <c r="J32" t="s">
        <v>36</v>
      </c>
      <c r="K32" s="3"/>
      <c r="N32" s="6">
        <f>IF(Tabela5[[#This Row],[Dim_Cenario'[Nome Cenario']]]=Tabela5[[#Headers],[INIC Atual]],Tabela5[[#This Row],['[Valores_cenario']]],0)</f>
        <v>16474.46</v>
      </c>
      <c r="O32" s="6">
        <f>IF(Tabela5[[#This Row],[Dim_Cenario'[Nome Cenario']]]=Tabela5[[#Headers],[Revisado]],Tabela5[[#This Row],['[Valores_cenario']]],0)</f>
        <v>0</v>
      </c>
      <c r="P32" s="6">
        <f>IF(Tabela5[[#This Row],[Dim_Cenario'[Nome Cenario']]]=Tabela5[[#Headers],[Realizado]],Tabela5[[#This Row],['[Valores_cenario']]],0)</f>
        <v>0</v>
      </c>
    </row>
    <row r="33" hidden="1" spans="1:16">
      <c r="A33" t="s">
        <v>17</v>
      </c>
      <c r="B33" t="s">
        <v>18</v>
      </c>
      <c r="C33" t="s">
        <v>37</v>
      </c>
      <c r="D33" t="s">
        <v>20</v>
      </c>
      <c r="E33">
        <v>2019</v>
      </c>
      <c r="F33" t="s">
        <v>30</v>
      </c>
      <c r="G33" t="s">
        <v>40</v>
      </c>
      <c r="H33">
        <v>7</v>
      </c>
      <c r="I33">
        <v>8466.49</v>
      </c>
      <c r="J33" t="s">
        <v>36</v>
      </c>
      <c r="K33" s="3"/>
      <c r="N33" s="6">
        <f>IF(Tabela5[[#This Row],[Dim_Cenario'[Nome Cenario']]]=Tabela5[[#Headers],[INIC Atual]],Tabela5[[#This Row],['[Valores_cenario']]],0)</f>
        <v>8466.49</v>
      </c>
      <c r="O33" s="6">
        <f>IF(Tabela5[[#This Row],[Dim_Cenario'[Nome Cenario']]]=Tabela5[[#Headers],[Revisado]],Tabela5[[#This Row],['[Valores_cenario']]],0)</f>
        <v>0</v>
      </c>
      <c r="P33" s="6">
        <f>IF(Tabela5[[#This Row],[Dim_Cenario'[Nome Cenario']]]=Tabela5[[#Headers],[Realizado]],Tabela5[[#This Row],['[Valores_cenario']]],0)</f>
        <v>0</v>
      </c>
    </row>
    <row r="34" hidden="1" spans="1:16">
      <c r="A34" t="s">
        <v>17</v>
      </c>
      <c r="B34" t="s">
        <v>18</v>
      </c>
      <c r="C34" t="s">
        <v>37</v>
      </c>
      <c r="D34" t="s">
        <v>20</v>
      </c>
      <c r="E34">
        <v>2019</v>
      </c>
      <c r="F34" t="s">
        <v>30</v>
      </c>
      <c r="G34" t="s">
        <v>31</v>
      </c>
      <c r="H34">
        <v>8</v>
      </c>
      <c r="I34">
        <v>11028.06</v>
      </c>
      <c r="J34" t="s">
        <v>36</v>
      </c>
      <c r="K34" s="3"/>
      <c r="N34" s="6">
        <f>IF(Tabela5[[#This Row],[Dim_Cenario'[Nome Cenario']]]=Tabela5[[#Headers],[INIC Atual]],Tabela5[[#This Row],['[Valores_cenario']]],0)</f>
        <v>11028.06</v>
      </c>
      <c r="O34" s="6">
        <f>IF(Tabela5[[#This Row],[Dim_Cenario'[Nome Cenario']]]=Tabela5[[#Headers],[Revisado]],Tabela5[[#This Row],['[Valores_cenario']]],0)</f>
        <v>0</v>
      </c>
      <c r="P34" s="6">
        <f>IF(Tabela5[[#This Row],[Dim_Cenario'[Nome Cenario']]]=Tabela5[[#Headers],[Realizado]],Tabela5[[#This Row],['[Valores_cenario']]],0)</f>
        <v>0</v>
      </c>
    </row>
    <row r="35" hidden="1" spans="1:16">
      <c r="A35" t="s">
        <v>17</v>
      </c>
      <c r="B35" t="s">
        <v>18</v>
      </c>
      <c r="C35" t="s">
        <v>37</v>
      </c>
      <c r="D35" t="s">
        <v>20</v>
      </c>
      <c r="E35">
        <v>2019</v>
      </c>
      <c r="F35" t="s">
        <v>30</v>
      </c>
      <c r="G35" t="s">
        <v>41</v>
      </c>
      <c r="H35">
        <v>9</v>
      </c>
      <c r="I35">
        <v>16474.46</v>
      </c>
      <c r="J35" t="s">
        <v>36</v>
      </c>
      <c r="K35" s="3"/>
      <c r="N35" s="6">
        <f>IF(Tabela5[[#This Row],[Dim_Cenario'[Nome Cenario']]]=Tabela5[[#Headers],[INIC Atual]],Tabela5[[#This Row],['[Valores_cenario']]],0)</f>
        <v>16474.46</v>
      </c>
      <c r="O35" s="6">
        <f>IF(Tabela5[[#This Row],[Dim_Cenario'[Nome Cenario']]]=Tabela5[[#Headers],[Revisado]],Tabela5[[#This Row],['[Valores_cenario']]],0)</f>
        <v>0</v>
      </c>
      <c r="P35" s="6">
        <f>IF(Tabela5[[#This Row],[Dim_Cenario'[Nome Cenario']]]=Tabela5[[#Headers],[Realizado]],Tabela5[[#This Row],['[Valores_cenario']]],0)</f>
        <v>0</v>
      </c>
    </row>
    <row r="36" hidden="1" spans="1:16">
      <c r="A36" t="s">
        <v>17</v>
      </c>
      <c r="B36" t="s">
        <v>18</v>
      </c>
      <c r="C36" t="s">
        <v>37</v>
      </c>
      <c r="D36" t="s">
        <v>20</v>
      </c>
      <c r="E36">
        <v>2019</v>
      </c>
      <c r="F36" t="s">
        <v>21</v>
      </c>
      <c r="G36" t="s">
        <v>22</v>
      </c>
      <c r="H36">
        <v>10</v>
      </c>
      <c r="I36">
        <v>83586.79</v>
      </c>
      <c r="J36" t="s">
        <v>36</v>
      </c>
      <c r="K36" s="3"/>
      <c r="N36" s="6">
        <f>IF(Tabela5[[#This Row],[Dim_Cenario'[Nome Cenario']]]=Tabela5[[#Headers],[INIC Atual]],Tabela5[[#This Row],['[Valores_cenario']]],0)</f>
        <v>83586.79</v>
      </c>
      <c r="O36" s="6">
        <f>IF(Tabela5[[#This Row],[Dim_Cenario'[Nome Cenario']]]=Tabela5[[#Headers],[Revisado]],Tabela5[[#This Row],['[Valores_cenario']]],0)</f>
        <v>0</v>
      </c>
      <c r="P36" s="6">
        <f>IF(Tabela5[[#This Row],[Dim_Cenario'[Nome Cenario']]]=Tabela5[[#Headers],[Realizado]],Tabela5[[#This Row],['[Valores_cenario']]],0)</f>
        <v>0</v>
      </c>
    </row>
    <row r="37" hidden="1" spans="1:16">
      <c r="A37" t="s">
        <v>17</v>
      </c>
      <c r="B37" t="s">
        <v>18</v>
      </c>
      <c r="C37" t="s">
        <v>37</v>
      </c>
      <c r="D37" t="s">
        <v>20</v>
      </c>
      <c r="E37">
        <v>2019</v>
      </c>
      <c r="F37" t="s">
        <v>21</v>
      </c>
      <c r="G37" t="s">
        <v>24</v>
      </c>
      <c r="H37">
        <v>11</v>
      </c>
      <c r="I37">
        <v>16474.46</v>
      </c>
      <c r="J37" t="s">
        <v>36</v>
      </c>
      <c r="K37" s="3"/>
      <c r="N37" s="6">
        <f>IF(Tabela5[[#This Row],[Dim_Cenario'[Nome Cenario']]]=Tabela5[[#Headers],[INIC Atual]],Tabela5[[#This Row],['[Valores_cenario']]],0)</f>
        <v>16474.46</v>
      </c>
      <c r="O37" s="6">
        <f>IF(Tabela5[[#This Row],[Dim_Cenario'[Nome Cenario']]]=Tabela5[[#Headers],[Revisado]],Tabela5[[#This Row],['[Valores_cenario']]],0)</f>
        <v>0</v>
      </c>
      <c r="P37" s="6">
        <f>IF(Tabela5[[#This Row],[Dim_Cenario'[Nome Cenario']]]=Tabela5[[#Headers],[Realizado]],Tabela5[[#This Row],['[Valores_cenario']]],0)</f>
        <v>0</v>
      </c>
    </row>
    <row r="38" hidden="1" spans="1:16">
      <c r="A38" t="s">
        <v>17</v>
      </c>
      <c r="B38" t="s">
        <v>18</v>
      </c>
      <c r="C38" t="s">
        <v>37</v>
      </c>
      <c r="D38" t="s">
        <v>20</v>
      </c>
      <c r="E38">
        <v>2019</v>
      </c>
      <c r="F38" t="s">
        <v>21</v>
      </c>
      <c r="G38" t="s">
        <v>32</v>
      </c>
      <c r="H38">
        <v>12</v>
      </c>
      <c r="I38">
        <v>8466.49</v>
      </c>
      <c r="J38" t="s">
        <v>36</v>
      </c>
      <c r="K38" s="3"/>
      <c r="N38" s="6">
        <f>IF(Tabela5[[#This Row],[Dim_Cenario'[Nome Cenario']]]=Tabela5[[#Headers],[INIC Atual]],Tabela5[[#This Row],['[Valores_cenario']]],0)</f>
        <v>8466.49</v>
      </c>
      <c r="O38" s="6">
        <f>IF(Tabela5[[#This Row],[Dim_Cenario'[Nome Cenario']]]=Tabela5[[#Headers],[Revisado]],Tabela5[[#This Row],['[Valores_cenario']]],0)</f>
        <v>0</v>
      </c>
      <c r="P38" s="6">
        <f>IF(Tabela5[[#This Row],[Dim_Cenario'[Nome Cenario']]]=Tabela5[[#Headers],[Realizado]],Tabela5[[#This Row],['[Valores_cenario']]],0)</f>
        <v>0</v>
      </c>
    </row>
    <row r="39" hidden="1" spans="1:16">
      <c r="A39" t="s">
        <v>17</v>
      </c>
      <c r="B39" t="s">
        <v>18</v>
      </c>
      <c r="C39" t="s">
        <v>37</v>
      </c>
      <c r="D39" t="s">
        <v>14</v>
      </c>
      <c r="E39">
        <v>2019</v>
      </c>
      <c r="F39" t="s">
        <v>25</v>
      </c>
      <c r="G39" t="s">
        <v>26</v>
      </c>
      <c r="H39">
        <v>2</v>
      </c>
      <c r="I39">
        <v>3240.5</v>
      </c>
      <c r="J39" t="s">
        <v>36</v>
      </c>
      <c r="K39" s="3"/>
      <c r="N39" s="6">
        <f>IF(Tabela5[[#This Row],[Dim_Cenario'[Nome Cenario']]]=Tabela5[[#Headers],[INIC Atual]],Tabela5[[#This Row],['[Valores_cenario']]],0)</f>
        <v>0</v>
      </c>
      <c r="O39" s="6">
        <f>IF(Tabela5[[#This Row],[Dim_Cenario'[Nome Cenario']]]=Tabela5[[#Headers],[Revisado]],Tabela5[[#This Row],['[Valores_cenario']]],0)</f>
        <v>3240.5</v>
      </c>
      <c r="P39" s="6">
        <f>IF(Tabela5[[#This Row],[Dim_Cenario'[Nome Cenario']]]=Tabela5[[#Headers],[Realizado]],Tabela5[[#This Row],['[Valores_cenario']]],0)</f>
        <v>0</v>
      </c>
    </row>
    <row r="40" hidden="1" spans="1:16">
      <c r="A40" t="s">
        <v>17</v>
      </c>
      <c r="B40" t="s">
        <v>18</v>
      </c>
      <c r="C40" t="s">
        <v>37</v>
      </c>
      <c r="D40" t="s">
        <v>14</v>
      </c>
      <c r="E40">
        <v>2019</v>
      </c>
      <c r="F40" t="s">
        <v>25</v>
      </c>
      <c r="G40" t="s">
        <v>38</v>
      </c>
      <c r="H40">
        <v>3</v>
      </c>
      <c r="I40">
        <v>6193.7</v>
      </c>
      <c r="J40" t="s">
        <v>36</v>
      </c>
      <c r="K40" s="3"/>
      <c r="N40" s="6">
        <f>IF(Tabela5[[#This Row],[Dim_Cenario'[Nome Cenario']]]=Tabela5[[#Headers],[INIC Atual]],Tabela5[[#This Row],['[Valores_cenario']]],0)</f>
        <v>0</v>
      </c>
      <c r="O40" s="6">
        <f>IF(Tabela5[[#This Row],[Dim_Cenario'[Nome Cenario']]]=Tabela5[[#Headers],[Revisado]],Tabela5[[#This Row],['[Valores_cenario']]],0)</f>
        <v>6193.7</v>
      </c>
      <c r="P40" s="6">
        <f>IF(Tabela5[[#This Row],[Dim_Cenario'[Nome Cenario']]]=Tabela5[[#Headers],[Realizado]],Tabela5[[#This Row],['[Valores_cenario']]],0)</f>
        <v>0</v>
      </c>
    </row>
    <row r="41" hidden="1" spans="1:16">
      <c r="A41" t="s">
        <v>17</v>
      </c>
      <c r="B41" t="s">
        <v>18</v>
      </c>
      <c r="C41" t="s">
        <v>37</v>
      </c>
      <c r="D41" t="s">
        <v>14</v>
      </c>
      <c r="E41">
        <v>2019</v>
      </c>
      <c r="F41" t="s">
        <v>27</v>
      </c>
      <c r="G41" t="s">
        <v>28</v>
      </c>
      <c r="H41">
        <v>4</v>
      </c>
      <c r="I41">
        <v>20255.55</v>
      </c>
      <c r="J41" t="s">
        <v>36</v>
      </c>
      <c r="K41" s="3"/>
      <c r="N41" s="6">
        <f>IF(Tabela5[[#This Row],[Dim_Cenario'[Nome Cenario']]]=Tabela5[[#Headers],[INIC Atual]],Tabela5[[#This Row],['[Valores_cenario']]],0)</f>
        <v>0</v>
      </c>
      <c r="O41" s="6">
        <f>IF(Tabela5[[#This Row],[Dim_Cenario'[Nome Cenario']]]=Tabela5[[#Headers],[Revisado]],Tabela5[[#This Row],['[Valores_cenario']]],0)</f>
        <v>20255.55</v>
      </c>
      <c r="P41" s="6">
        <f>IF(Tabela5[[#This Row],[Dim_Cenario'[Nome Cenario']]]=Tabela5[[#Headers],[Realizado]],Tabela5[[#This Row],['[Valores_cenario']]],0)</f>
        <v>0</v>
      </c>
    </row>
    <row r="42" hidden="1" spans="1:16">
      <c r="A42" t="s">
        <v>17</v>
      </c>
      <c r="B42" t="s">
        <v>18</v>
      </c>
      <c r="C42" t="s">
        <v>37</v>
      </c>
      <c r="D42" t="s">
        <v>14</v>
      </c>
      <c r="E42">
        <v>2019</v>
      </c>
      <c r="F42" t="s">
        <v>27</v>
      </c>
      <c r="G42" t="s">
        <v>39</v>
      </c>
      <c r="H42">
        <v>5</v>
      </c>
      <c r="I42">
        <v>26489.22</v>
      </c>
      <c r="J42" t="s">
        <v>36</v>
      </c>
      <c r="K42" s="3"/>
      <c r="N42" s="6">
        <f>IF(Tabela5[[#This Row],[Dim_Cenario'[Nome Cenario']]]=Tabela5[[#Headers],[INIC Atual]],Tabela5[[#This Row],['[Valores_cenario']]],0)</f>
        <v>0</v>
      </c>
      <c r="O42" s="6">
        <f>IF(Tabela5[[#This Row],[Dim_Cenario'[Nome Cenario']]]=Tabela5[[#Headers],[Revisado]],Tabela5[[#This Row],['[Valores_cenario']]],0)</f>
        <v>26489.22</v>
      </c>
      <c r="P42" s="6">
        <f>IF(Tabela5[[#This Row],[Dim_Cenario'[Nome Cenario']]]=Tabela5[[#Headers],[Realizado]],Tabela5[[#This Row],['[Valores_cenario']]],0)</f>
        <v>0</v>
      </c>
    </row>
    <row r="43" hidden="1" spans="1:16">
      <c r="A43" t="s">
        <v>17</v>
      </c>
      <c r="B43" t="s">
        <v>18</v>
      </c>
      <c r="C43" t="s">
        <v>37</v>
      </c>
      <c r="D43" t="s">
        <v>14</v>
      </c>
      <c r="E43">
        <v>2019</v>
      </c>
      <c r="F43" t="s">
        <v>27</v>
      </c>
      <c r="G43" t="s">
        <v>29</v>
      </c>
      <c r="H43">
        <v>6</v>
      </c>
      <c r="I43">
        <v>37200.23</v>
      </c>
      <c r="J43" t="s">
        <v>36</v>
      </c>
      <c r="K43" s="3"/>
      <c r="N43" s="6">
        <f>IF(Tabela5[[#This Row],[Dim_Cenario'[Nome Cenario']]]=Tabela5[[#Headers],[INIC Atual]],Tabela5[[#This Row],['[Valores_cenario']]],0)</f>
        <v>0</v>
      </c>
      <c r="O43" s="6">
        <f>IF(Tabela5[[#This Row],[Dim_Cenario'[Nome Cenario']]]=Tabela5[[#Headers],[Revisado]],Tabela5[[#This Row],['[Valores_cenario']]],0)</f>
        <v>37200.23</v>
      </c>
      <c r="P43" s="6">
        <f>IF(Tabela5[[#This Row],[Dim_Cenario'[Nome Cenario']]]=Tabela5[[#Headers],[Realizado]],Tabela5[[#This Row],['[Valores_cenario']]],0)</f>
        <v>0</v>
      </c>
    </row>
    <row r="44" hidden="1" spans="1:16">
      <c r="A44" t="s">
        <v>17</v>
      </c>
      <c r="B44" t="s">
        <v>18</v>
      </c>
      <c r="C44" t="s">
        <v>37</v>
      </c>
      <c r="D44" t="s">
        <v>14</v>
      </c>
      <c r="E44">
        <v>2019</v>
      </c>
      <c r="F44" t="s">
        <v>30</v>
      </c>
      <c r="G44" t="s">
        <v>40</v>
      </c>
      <c r="H44">
        <v>7</v>
      </c>
      <c r="I44">
        <v>5266.49</v>
      </c>
      <c r="J44" t="s">
        <v>36</v>
      </c>
      <c r="K44" s="3"/>
      <c r="N44" s="6">
        <f>IF(Tabela5[[#This Row],[Dim_Cenario'[Nome Cenario']]]=Tabela5[[#Headers],[INIC Atual]],Tabela5[[#This Row],['[Valores_cenario']]],0)</f>
        <v>0</v>
      </c>
      <c r="O44" s="6">
        <f>IF(Tabela5[[#This Row],[Dim_Cenario'[Nome Cenario']]]=Tabela5[[#Headers],[Revisado]],Tabela5[[#This Row],['[Valores_cenario']]],0)</f>
        <v>5266.49</v>
      </c>
      <c r="P44" s="6">
        <f>IF(Tabela5[[#This Row],[Dim_Cenario'[Nome Cenario']]]=Tabela5[[#Headers],[Realizado]],Tabela5[[#This Row],['[Valores_cenario']]],0)</f>
        <v>0</v>
      </c>
    </row>
    <row r="45" hidden="1" spans="1:16">
      <c r="A45" t="s">
        <v>17</v>
      </c>
      <c r="B45" t="s">
        <v>18</v>
      </c>
      <c r="C45" t="s">
        <v>37</v>
      </c>
      <c r="D45" t="s">
        <v>14</v>
      </c>
      <c r="E45">
        <v>2019</v>
      </c>
      <c r="F45" t="s">
        <v>30</v>
      </c>
      <c r="G45" t="s">
        <v>31</v>
      </c>
      <c r="H45">
        <v>8</v>
      </c>
      <c r="I45">
        <v>7128.06</v>
      </c>
      <c r="J45" t="s">
        <v>36</v>
      </c>
      <c r="K45" s="3"/>
      <c r="N45" s="6">
        <f>IF(Tabela5[[#This Row],[Dim_Cenario'[Nome Cenario']]]=Tabela5[[#Headers],[INIC Atual]],Tabela5[[#This Row],['[Valores_cenario']]],0)</f>
        <v>0</v>
      </c>
      <c r="O45" s="6">
        <f>IF(Tabela5[[#This Row],[Dim_Cenario'[Nome Cenario']]]=Tabela5[[#Headers],[Revisado]],Tabela5[[#This Row],['[Valores_cenario']]],0)</f>
        <v>7128.06</v>
      </c>
      <c r="P45" s="6">
        <f>IF(Tabela5[[#This Row],[Dim_Cenario'[Nome Cenario']]]=Tabela5[[#Headers],[Realizado]],Tabela5[[#This Row],['[Valores_cenario']]],0)</f>
        <v>0</v>
      </c>
    </row>
    <row r="46" hidden="1" spans="1:16">
      <c r="A46" t="s">
        <v>17</v>
      </c>
      <c r="B46" t="s">
        <v>18</v>
      </c>
      <c r="C46" t="s">
        <v>37</v>
      </c>
      <c r="D46" t="s">
        <v>14</v>
      </c>
      <c r="E46">
        <v>2019</v>
      </c>
      <c r="F46" t="s">
        <v>30</v>
      </c>
      <c r="G46" t="s">
        <v>41</v>
      </c>
      <c r="H46">
        <v>9</v>
      </c>
      <c r="I46">
        <v>1774.46</v>
      </c>
      <c r="J46" t="s">
        <v>36</v>
      </c>
      <c r="K46" s="3"/>
      <c r="N46" s="6">
        <f>IF(Tabela5[[#This Row],[Dim_Cenario'[Nome Cenario']]]=Tabela5[[#Headers],[INIC Atual]],Tabela5[[#This Row],['[Valores_cenario']]],0)</f>
        <v>0</v>
      </c>
      <c r="O46" s="6">
        <f>IF(Tabela5[[#This Row],[Dim_Cenario'[Nome Cenario']]]=Tabela5[[#Headers],[Revisado]],Tabela5[[#This Row],['[Valores_cenario']]],0)</f>
        <v>1774.46</v>
      </c>
      <c r="P46" s="6">
        <f>IF(Tabela5[[#This Row],[Dim_Cenario'[Nome Cenario']]]=Tabela5[[#Headers],[Realizado]],Tabela5[[#This Row],['[Valores_cenario']]],0)</f>
        <v>0</v>
      </c>
    </row>
    <row r="47" hidden="1" spans="1:16">
      <c r="A47" t="s">
        <v>17</v>
      </c>
      <c r="B47" t="s">
        <v>18</v>
      </c>
      <c r="C47" t="s">
        <v>37</v>
      </c>
      <c r="D47" t="s">
        <v>14</v>
      </c>
      <c r="E47">
        <v>2019</v>
      </c>
      <c r="F47" t="s">
        <v>21</v>
      </c>
      <c r="G47" t="s">
        <v>22</v>
      </c>
      <c r="H47">
        <v>10</v>
      </c>
      <c r="I47">
        <v>6375.22</v>
      </c>
      <c r="J47" t="s">
        <v>36</v>
      </c>
      <c r="K47" s="3"/>
      <c r="N47" s="6">
        <f>IF(Tabela5[[#This Row],[Dim_Cenario'[Nome Cenario']]]=Tabela5[[#Headers],[INIC Atual]],Tabela5[[#This Row],['[Valores_cenario']]],0)</f>
        <v>0</v>
      </c>
      <c r="O47" s="6">
        <f>IF(Tabela5[[#This Row],[Dim_Cenario'[Nome Cenario']]]=Tabela5[[#Headers],[Revisado]],Tabela5[[#This Row],['[Valores_cenario']]],0)</f>
        <v>6375.22</v>
      </c>
      <c r="P47" s="6">
        <f>IF(Tabela5[[#This Row],[Dim_Cenario'[Nome Cenario']]]=Tabela5[[#Headers],[Realizado]],Tabela5[[#This Row],['[Valores_cenario']]],0)</f>
        <v>0</v>
      </c>
    </row>
    <row r="48" hidden="1" spans="1:16">
      <c r="A48" t="s">
        <v>17</v>
      </c>
      <c r="B48" t="s">
        <v>18</v>
      </c>
      <c r="C48" t="s">
        <v>37</v>
      </c>
      <c r="D48" t="s">
        <v>14</v>
      </c>
      <c r="E48">
        <v>2019</v>
      </c>
      <c r="F48" t="s">
        <v>21</v>
      </c>
      <c r="G48" t="s">
        <v>24</v>
      </c>
      <c r="H48">
        <v>11</v>
      </c>
      <c r="I48">
        <v>16474.46</v>
      </c>
      <c r="J48" t="s">
        <v>36</v>
      </c>
      <c r="K48" s="3"/>
      <c r="N48" s="6">
        <f>IF(Tabela5[[#This Row],[Dim_Cenario'[Nome Cenario']]]=Tabela5[[#Headers],[INIC Atual]],Tabela5[[#This Row],['[Valores_cenario']]],0)</f>
        <v>0</v>
      </c>
      <c r="O48" s="6">
        <f>IF(Tabela5[[#This Row],[Dim_Cenario'[Nome Cenario']]]=Tabela5[[#Headers],[Revisado]],Tabela5[[#This Row],['[Valores_cenario']]],0)</f>
        <v>16474.46</v>
      </c>
      <c r="P48" s="6">
        <f>IF(Tabela5[[#This Row],[Dim_Cenario'[Nome Cenario']]]=Tabela5[[#Headers],[Realizado]],Tabela5[[#This Row],['[Valores_cenario']]],0)</f>
        <v>0</v>
      </c>
    </row>
    <row r="49" hidden="1" spans="1:16">
      <c r="A49" t="s">
        <v>17</v>
      </c>
      <c r="B49" t="s">
        <v>18</v>
      </c>
      <c r="C49" t="s">
        <v>37</v>
      </c>
      <c r="D49" t="s">
        <v>14</v>
      </c>
      <c r="E49">
        <v>2019</v>
      </c>
      <c r="F49" t="s">
        <v>21</v>
      </c>
      <c r="G49" t="s">
        <v>32</v>
      </c>
      <c r="H49">
        <v>12</v>
      </c>
      <c r="I49">
        <v>117147.08</v>
      </c>
      <c r="J49" t="s">
        <v>36</v>
      </c>
      <c r="K49" s="3"/>
      <c r="N49" s="6">
        <f>IF(Tabela5[[#This Row],[Dim_Cenario'[Nome Cenario']]]=Tabela5[[#Headers],[INIC Atual]],Tabela5[[#This Row],['[Valores_cenario']]],0)</f>
        <v>0</v>
      </c>
      <c r="O49" s="6">
        <f>IF(Tabela5[[#This Row],[Dim_Cenario'[Nome Cenario']]]=Tabela5[[#Headers],[Revisado]],Tabela5[[#This Row],['[Valores_cenario']]],0)</f>
        <v>117147.08</v>
      </c>
      <c r="P49" s="6">
        <f>IF(Tabela5[[#This Row],[Dim_Cenario'[Nome Cenario']]]=Tabela5[[#Headers],[Realizado]],Tabela5[[#This Row],['[Valores_cenario']]],0)</f>
        <v>0</v>
      </c>
    </row>
    <row r="50" spans="1:16">
      <c r="A50" t="s">
        <v>17</v>
      </c>
      <c r="B50" t="s">
        <v>18</v>
      </c>
      <c r="C50" t="s">
        <v>37</v>
      </c>
      <c r="D50" t="s">
        <v>15</v>
      </c>
      <c r="E50">
        <v>2024</v>
      </c>
      <c r="F50" t="s">
        <v>27</v>
      </c>
      <c r="G50" t="s">
        <v>39</v>
      </c>
      <c r="H50">
        <v>5</v>
      </c>
      <c r="I50">
        <v>14540</v>
      </c>
      <c r="J50" t="s">
        <v>23</v>
      </c>
      <c r="K50" s="3">
        <v>45414</v>
      </c>
      <c r="L50" t="s">
        <v>42</v>
      </c>
      <c r="M50" t="s">
        <v>43</v>
      </c>
      <c r="N50" s="6">
        <f>IF(Tabela5[[#This Row],[Dim_Cenario'[Nome Cenario']]]=Tabela5[[#Headers],[INIC Atual]],Tabela5[[#This Row],['[Valores_cenario']]],0)</f>
        <v>0</v>
      </c>
      <c r="O50" s="6">
        <f>IF(Tabela5[[#This Row],[Dim_Cenario'[Nome Cenario']]]=Tabela5[[#Headers],[Revisado]],Tabela5[[#This Row],['[Valores_cenario']]],0)</f>
        <v>0</v>
      </c>
      <c r="P50" s="6">
        <f>IF(Tabela5[[#This Row],[Dim_Cenario'[Nome Cenario']]]=Tabela5[[#Headers],[Realizado]],Tabela5[[#This Row],['[Valores_cenario']]],0)</f>
        <v>14540</v>
      </c>
    </row>
    <row r="51" spans="1:16">
      <c r="A51" t="s">
        <v>17</v>
      </c>
      <c r="B51" t="s">
        <v>18</v>
      </c>
      <c r="C51" t="s">
        <v>37</v>
      </c>
      <c r="D51" t="s">
        <v>15</v>
      </c>
      <c r="E51">
        <v>2020</v>
      </c>
      <c r="F51" t="s">
        <v>21</v>
      </c>
      <c r="G51" t="s">
        <v>32</v>
      </c>
      <c r="H51">
        <v>12</v>
      </c>
      <c r="I51">
        <v>14500</v>
      </c>
      <c r="J51" t="s">
        <v>36</v>
      </c>
      <c r="K51" s="3">
        <v>44183</v>
      </c>
      <c r="L51" t="s">
        <v>44</v>
      </c>
      <c r="M51" t="s">
        <v>45</v>
      </c>
      <c r="N51" s="6">
        <f>IF(Tabela5[[#This Row],[Dim_Cenario'[Nome Cenario']]]=Tabela5[[#Headers],[INIC Atual]],Tabela5[[#This Row],['[Valores_cenario']]],0)</f>
        <v>0</v>
      </c>
      <c r="O51" s="6">
        <f>IF(Tabela5[[#This Row],[Dim_Cenario'[Nome Cenario']]]=Tabela5[[#Headers],[Revisado]],Tabela5[[#This Row],['[Valores_cenario']]],0)</f>
        <v>0</v>
      </c>
      <c r="P51" s="6">
        <f>IF(Tabela5[[#This Row],[Dim_Cenario'[Nome Cenario']]]=Tabela5[[#Headers],[Realizado]],Tabela5[[#This Row],['[Valores_cenario']]],0)</f>
        <v>14500</v>
      </c>
    </row>
    <row r="52" spans="1:16">
      <c r="A52" t="s">
        <v>17</v>
      </c>
      <c r="B52" t="s">
        <v>18</v>
      </c>
      <c r="C52" t="s">
        <v>37</v>
      </c>
      <c r="D52" t="s">
        <v>15</v>
      </c>
      <c r="E52">
        <v>2024</v>
      </c>
      <c r="F52" t="s">
        <v>27</v>
      </c>
      <c r="G52" t="s">
        <v>39</v>
      </c>
      <c r="H52">
        <v>5</v>
      </c>
      <c r="I52">
        <v>14000</v>
      </c>
      <c r="J52" t="s">
        <v>23</v>
      </c>
      <c r="K52" s="3">
        <v>45422</v>
      </c>
      <c r="L52" t="s">
        <v>46</v>
      </c>
      <c r="M52" t="s">
        <v>47</v>
      </c>
      <c r="N52" s="6">
        <f>IF(Tabela5[[#This Row],[Dim_Cenario'[Nome Cenario']]]=Tabela5[[#Headers],[INIC Atual]],Tabela5[[#This Row],['[Valores_cenario']]],0)</f>
        <v>0</v>
      </c>
      <c r="O52" s="6">
        <f>IF(Tabela5[[#This Row],[Dim_Cenario'[Nome Cenario']]]=Tabela5[[#Headers],[Revisado]],Tabela5[[#This Row],['[Valores_cenario']]],0)</f>
        <v>0</v>
      </c>
      <c r="P52" s="6">
        <f>IF(Tabela5[[#This Row],[Dim_Cenario'[Nome Cenario']]]=Tabela5[[#Headers],[Realizado]],Tabela5[[#This Row],['[Valores_cenario']]],0)</f>
        <v>14000</v>
      </c>
    </row>
    <row r="53" spans="1:16">
      <c r="A53" t="s">
        <v>17</v>
      </c>
      <c r="B53" t="s">
        <v>18</v>
      </c>
      <c r="C53" t="s">
        <v>37</v>
      </c>
      <c r="D53" t="s">
        <v>15</v>
      </c>
      <c r="E53">
        <v>2020</v>
      </c>
      <c r="F53" t="s">
        <v>30</v>
      </c>
      <c r="G53" t="s">
        <v>40</v>
      </c>
      <c r="H53">
        <v>7</v>
      </c>
      <c r="I53">
        <v>13610.1</v>
      </c>
      <c r="J53" t="s">
        <v>36</v>
      </c>
      <c r="K53" s="3">
        <v>44032</v>
      </c>
      <c r="L53" t="s">
        <v>48</v>
      </c>
      <c r="M53" t="s">
        <v>49</v>
      </c>
      <c r="N53" s="6">
        <f>IF(Tabela5[[#This Row],[Dim_Cenario'[Nome Cenario']]]=Tabela5[[#Headers],[INIC Atual]],Tabela5[[#This Row],['[Valores_cenario']]],0)</f>
        <v>0</v>
      </c>
      <c r="O53" s="6">
        <f>IF(Tabela5[[#This Row],[Dim_Cenario'[Nome Cenario']]]=Tabela5[[#Headers],[Revisado]],Tabela5[[#This Row],['[Valores_cenario']]],0)</f>
        <v>0</v>
      </c>
      <c r="P53" s="6">
        <f>IF(Tabela5[[#This Row],[Dim_Cenario'[Nome Cenario']]]=Tabela5[[#Headers],[Realizado]],Tabela5[[#This Row],['[Valores_cenario']]],0)</f>
        <v>13610.1</v>
      </c>
    </row>
    <row r="54" spans="1:16">
      <c r="A54" t="s">
        <v>17</v>
      </c>
      <c r="B54" t="s">
        <v>18</v>
      </c>
      <c r="C54" t="s">
        <v>37</v>
      </c>
      <c r="D54" t="s">
        <v>15</v>
      </c>
      <c r="E54">
        <v>2022</v>
      </c>
      <c r="F54" t="s">
        <v>25</v>
      </c>
      <c r="G54" t="s">
        <v>26</v>
      </c>
      <c r="H54">
        <v>2</v>
      </c>
      <c r="I54">
        <v>13553.9</v>
      </c>
      <c r="J54" t="s">
        <v>23</v>
      </c>
      <c r="K54" s="3">
        <v>44620</v>
      </c>
      <c r="L54" t="s">
        <v>50</v>
      </c>
      <c r="M54" t="s">
        <v>51</v>
      </c>
      <c r="N54" s="6">
        <f>IF(Tabela5[[#This Row],[Dim_Cenario'[Nome Cenario']]]=Tabela5[[#Headers],[INIC Atual]],Tabela5[[#This Row],['[Valores_cenario']]],0)</f>
        <v>0</v>
      </c>
      <c r="O54" s="6">
        <f>IF(Tabela5[[#This Row],[Dim_Cenario'[Nome Cenario']]]=Tabela5[[#Headers],[Revisado]],Tabela5[[#This Row],['[Valores_cenario']]],0)</f>
        <v>0</v>
      </c>
      <c r="P54" s="6">
        <f>IF(Tabela5[[#This Row],[Dim_Cenario'[Nome Cenario']]]=Tabela5[[#Headers],[Realizado]],Tabela5[[#This Row],['[Valores_cenario']]],0)</f>
        <v>13553.9</v>
      </c>
    </row>
    <row r="55" spans="1:16">
      <c r="A55" t="s">
        <v>17</v>
      </c>
      <c r="B55" t="s">
        <v>18</v>
      </c>
      <c r="C55" t="s">
        <v>37</v>
      </c>
      <c r="D55" t="s">
        <v>15</v>
      </c>
      <c r="E55">
        <v>2022</v>
      </c>
      <c r="F55" t="s">
        <v>25</v>
      </c>
      <c r="G55" t="s">
        <v>38</v>
      </c>
      <c r="H55">
        <v>3</v>
      </c>
      <c r="I55">
        <v>13553.9</v>
      </c>
      <c r="J55" t="s">
        <v>23</v>
      </c>
      <c r="K55" s="3">
        <v>44641</v>
      </c>
      <c r="L55" t="s">
        <v>52</v>
      </c>
      <c r="M55" t="s">
        <v>53</v>
      </c>
      <c r="N55" s="6">
        <f>IF(Tabela5[[#This Row],[Dim_Cenario'[Nome Cenario']]]=Tabela5[[#Headers],[INIC Atual]],Tabela5[[#This Row],['[Valores_cenario']]],0)</f>
        <v>0</v>
      </c>
      <c r="O55" s="6">
        <f>IF(Tabela5[[#This Row],[Dim_Cenario'[Nome Cenario']]]=Tabela5[[#Headers],[Revisado]],Tabela5[[#This Row],['[Valores_cenario']]],0)</f>
        <v>0</v>
      </c>
      <c r="P55" s="6">
        <f>IF(Tabela5[[#This Row],[Dim_Cenario'[Nome Cenario']]]=Tabela5[[#Headers],[Realizado]],Tabela5[[#This Row],['[Valores_cenario']]],0)</f>
        <v>13553.9</v>
      </c>
    </row>
    <row r="56" spans="1:16">
      <c r="A56" t="s">
        <v>17</v>
      </c>
      <c r="B56" t="s">
        <v>18</v>
      </c>
      <c r="C56" t="s">
        <v>37</v>
      </c>
      <c r="D56" t="s">
        <v>15</v>
      </c>
      <c r="E56">
        <v>2019</v>
      </c>
      <c r="F56" t="s">
        <v>27</v>
      </c>
      <c r="G56" t="s">
        <v>39</v>
      </c>
      <c r="H56">
        <v>5</v>
      </c>
      <c r="I56">
        <v>13380.04</v>
      </c>
      <c r="J56" t="s">
        <v>36</v>
      </c>
      <c r="K56" s="3">
        <v>43609</v>
      </c>
      <c r="L56" t="s">
        <v>54</v>
      </c>
      <c r="M56" t="s">
        <v>55</v>
      </c>
      <c r="N56" s="6">
        <f>IF(Tabela5[[#This Row],[Dim_Cenario'[Nome Cenario']]]=Tabela5[[#Headers],[INIC Atual]],Tabela5[[#This Row],['[Valores_cenario']]],0)</f>
        <v>0</v>
      </c>
      <c r="O56" s="6">
        <f>IF(Tabela5[[#This Row],[Dim_Cenario'[Nome Cenario']]]=Tabela5[[#Headers],[Revisado]],Tabela5[[#This Row],['[Valores_cenario']]],0)</f>
        <v>0</v>
      </c>
      <c r="P56" s="6">
        <f>IF(Tabela5[[#This Row],[Dim_Cenario'[Nome Cenario']]]=Tabela5[[#Headers],[Realizado]],Tabela5[[#This Row],['[Valores_cenario']]],0)</f>
        <v>13380.04</v>
      </c>
    </row>
    <row r="57" spans="1:16">
      <c r="A57" t="s">
        <v>17</v>
      </c>
      <c r="B57" t="s">
        <v>18</v>
      </c>
      <c r="C57" t="s">
        <v>37</v>
      </c>
      <c r="D57" t="s">
        <v>15</v>
      </c>
      <c r="E57">
        <v>2019</v>
      </c>
      <c r="F57" t="s">
        <v>27</v>
      </c>
      <c r="G57" t="s">
        <v>29</v>
      </c>
      <c r="H57">
        <v>6</v>
      </c>
      <c r="I57">
        <v>12835</v>
      </c>
      <c r="J57" t="s">
        <v>36</v>
      </c>
      <c r="K57" s="3">
        <v>43629</v>
      </c>
      <c r="L57" t="s">
        <v>56</v>
      </c>
      <c r="M57" t="s">
        <v>57</v>
      </c>
      <c r="N57" s="6">
        <f>IF(Tabela5[[#This Row],[Dim_Cenario'[Nome Cenario']]]=Tabela5[[#Headers],[INIC Atual]],Tabela5[[#This Row],['[Valores_cenario']]],0)</f>
        <v>0</v>
      </c>
      <c r="O57" s="6">
        <f>IF(Tabela5[[#This Row],[Dim_Cenario'[Nome Cenario']]]=Tabela5[[#Headers],[Revisado]],Tabela5[[#This Row],['[Valores_cenario']]],0)</f>
        <v>0</v>
      </c>
      <c r="P57" s="6">
        <f>IF(Tabela5[[#This Row],[Dim_Cenario'[Nome Cenario']]]=Tabela5[[#Headers],[Realizado]],Tabela5[[#This Row],['[Valores_cenario']]],0)</f>
        <v>12835</v>
      </c>
    </row>
    <row r="58" spans="1:16">
      <c r="A58" t="s">
        <v>17</v>
      </c>
      <c r="B58" t="s">
        <v>18</v>
      </c>
      <c r="C58" t="s">
        <v>37</v>
      </c>
      <c r="D58" t="s">
        <v>15</v>
      </c>
      <c r="E58">
        <v>2022</v>
      </c>
      <c r="F58" t="s">
        <v>27</v>
      </c>
      <c r="G58" t="s">
        <v>29</v>
      </c>
      <c r="H58">
        <v>6</v>
      </c>
      <c r="I58">
        <v>12375.3</v>
      </c>
      <c r="J58" t="s">
        <v>23</v>
      </c>
      <c r="K58" s="3">
        <v>44733</v>
      </c>
      <c r="L58" t="s">
        <v>52</v>
      </c>
      <c r="M58" t="s">
        <v>58</v>
      </c>
      <c r="N58" s="6">
        <f>IF(Tabela5[[#This Row],[Dim_Cenario'[Nome Cenario']]]=Tabela5[[#Headers],[INIC Atual]],Tabela5[[#This Row],['[Valores_cenario']]],0)</f>
        <v>0</v>
      </c>
      <c r="O58" s="6">
        <f>IF(Tabela5[[#This Row],[Dim_Cenario'[Nome Cenario']]]=Tabela5[[#Headers],[Revisado]],Tabela5[[#This Row],['[Valores_cenario']]],0)</f>
        <v>0</v>
      </c>
      <c r="P58" s="6">
        <f>IF(Tabela5[[#This Row],[Dim_Cenario'[Nome Cenario']]]=Tabela5[[#Headers],[Realizado]],Tabela5[[#This Row],['[Valores_cenario']]],0)</f>
        <v>12375.3</v>
      </c>
    </row>
    <row r="59" spans="1:16">
      <c r="A59" t="s">
        <v>17</v>
      </c>
      <c r="B59" t="s">
        <v>18</v>
      </c>
      <c r="C59" t="s">
        <v>37</v>
      </c>
      <c r="D59" t="s">
        <v>15</v>
      </c>
      <c r="E59">
        <v>2024</v>
      </c>
      <c r="F59" t="s">
        <v>27</v>
      </c>
      <c r="G59" t="s">
        <v>39</v>
      </c>
      <c r="H59">
        <v>5</v>
      </c>
      <c r="I59">
        <v>12000</v>
      </c>
      <c r="J59" t="s">
        <v>23</v>
      </c>
      <c r="K59" s="3">
        <v>45429</v>
      </c>
      <c r="L59" t="s">
        <v>46</v>
      </c>
      <c r="M59" t="s">
        <v>59</v>
      </c>
      <c r="N59" s="6">
        <f>IF(Tabela5[[#This Row],[Dim_Cenario'[Nome Cenario']]]=Tabela5[[#Headers],[INIC Atual]],Tabela5[[#This Row],['[Valores_cenario']]],0)</f>
        <v>0</v>
      </c>
      <c r="O59" s="6">
        <f>IF(Tabela5[[#This Row],[Dim_Cenario'[Nome Cenario']]]=Tabela5[[#Headers],[Revisado]],Tabela5[[#This Row],['[Valores_cenario']]],0)</f>
        <v>0</v>
      </c>
      <c r="P59" s="6">
        <f>IF(Tabela5[[#This Row],[Dim_Cenario'[Nome Cenario']]]=Tabela5[[#Headers],[Realizado]],Tabela5[[#This Row],['[Valores_cenario']]],0)</f>
        <v>12000</v>
      </c>
    </row>
    <row r="60" spans="1:16">
      <c r="A60" t="s">
        <v>17</v>
      </c>
      <c r="B60" t="s">
        <v>18</v>
      </c>
      <c r="C60" t="s">
        <v>37</v>
      </c>
      <c r="D60" t="s">
        <v>15</v>
      </c>
      <c r="E60">
        <v>2025</v>
      </c>
      <c r="F60" t="s">
        <v>30</v>
      </c>
      <c r="G60" t="s">
        <v>41</v>
      </c>
      <c r="H60">
        <v>9</v>
      </c>
      <c r="I60">
        <v>11672</v>
      </c>
      <c r="J60" t="s">
        <v>33</v>
      </c>
      <c r="K60" s="3">
        <v>45919</v>
      </c>
      <c r="L60" t="s">
        <v>60</v>
      </c>
      <c r="M60" t="s">
        <v>61</v>
      </c>
      <c r="N60" s="6">
        <f>IF(Tabela5[[#This Row],[Dim_Cenario'[Nome Cenario']]]=Tabela5[[#Headers],[INIC Atual]],Tabela5[[#This Row],['[Valores_cenario']]],0)</f>
        <v>0</v>
      </c>
      <c r="O60" s="6">
        <f>IF(Tabela5[[#This Row],[Dim_Cenario'[Nome Cenario']]]=Tabela5[[#Headers],[Revisado]],Tabela5[[#This Row],['[Valores_cenario']]],0)</f>
        <v>0</v>
      </c>
      <c r="P60" s="6">
        <f>IF(Tabela5[[#This Row],[Dim_Cenario'[Nome Cenario']]]=Tabela5[[#Headers],[Realizado]],Tabela5[[#This Row],['[Valores_cenario']]],0)</f>
        <v>11672</v>
      </c>
    </row>
    <row r="61" hidden="1" spans="1:16">
      <c r="A61" t="s">
        <v>17</v>
      </c>
      <c r="B61" t="s">
        <v>18</v>
      </c>
      <c r="C61" t="s">
        <v>37</v>
      </c>
      <c r="D61" t="s">
        <v>15</v>
      </c>
      <c r="E61">
        <v>2019</v>
      </c>
      <c r="F61" t="s">
        <v>27</v>
      </c>
      <c r="G61" t="s">
        <v>39</v>
      </c>
      <c r="H61">
        <v>5</v>
      </c>
      <c r="I61">
        <v>-1012.35</v>
      </c>
      <c r="J61" t="s">
        <v>36</v>
      </c>
      <c r="K61" s="3">
        <v>43613</v>
      </c>
      <c r="L61" t="s">
        <v>50</v>
      </c>
      <c r="M61" t="s">
        <v>62</v>
      </c>
      <c r="N61" s="6">
        <f>IF(Tabela5[[#This Row],[Dim_Cenario'[Nome Cenario']]]=Tabela5[[#Headers],[INIC Atual]],Tabela5[[#This Row],['[Valores_cenario']]],0)</f>
        <v>0</v>
      </c>
      <c r="O61" s="6">
        <f>IF(Tabela5[[#This Row],[Dim_Cenario'[Nome Cenario']]]=Tabela5[[#Headers],[Revisado]],Tabela5[[#This Row],['[Valores_cenario']]],0)</f>
        <v>0</v>
      </c>
      <c r="P61" s="6">
        <f>IF(Tabela5[[#This Row],[Dim_Cenario'[Nome Cenario']]]=Tabela5[[#Headers],[Realizado]],Tabela5[[#This Row],['[Valores_cenario']]],0)</f>
        <v>-1012.35</v>
      </c>
    </row>
    <row r="62" spans="1:16">
      <c r="A62" t="s">
        <v>17</v>
      </c>
      <c r="B62" t="s">
        <v>18</v>
      </c>
      <c r="C62" t="s">
        <v>37</v>
      </c>
      <c r="D62" t="s">
        <v>15</v>
      </c>
      <c r="E62">
        <v>2026</v>
      </c>
      <c r="F62" t="s">
        <v>27</v>
      </c>
      <c r="G62" t="s">
        <v>28</v>
      </c>
      <c r="H62">
        <v>4</v>
      </c>
      <c r="I62">
        <v>11672</v>
      </c>
      <c r="J62" t="s">
        <v>33</v>
      </c>
      <c r="K62" s="3">
        <v>46118</v>
      </c>
      <c r="L62" t="s">
        <v>63</v>
      </c>
      <c r="M62" t="s">
        <v>64</v>
      </c>
      <c r="N62" s="6">
        <f>IF(Tabela5[[#This Row],[Dim_Cenario'[Nome Cenario']]]=Tabela5[[#Headers],[INIC Atual]],Tabela5[[#This Row],['[Valores_cenario']]],0)</f>
        <v>0</v>
      </c>
      <c r="O62" s="6">
        <f>IF(Tabela5[[#This Row],[Dim_Cenario'[Nome Cenario']]]=Tabela5[[#Headers],[Revisado]],Tabela5[[#This Row],['[Valores_cenario']]],0)</f>
        <v>0</v>
      </c>
      <c r="P62" s="6">
        <f>IF(Tabela5[[#This Row],[Dim_Cenario'[Nome Cenario']]]=Tabela5[[#Headers],[Realizado]],Tabela5[[#This Row],['[Valores_cenario']]],0)</f>
        <v>11672</v>
      </c>
    </row>
    <row r="63" spans="1:16">
      <c r="A63" t="s">
        <v>17</v>
      </c>
      <c r="B63" t="s">
        <v>18</v>
      </c>
      <c r="C63" t="s">
        <v>37</v>
      </c>
      <c r="D63" t="s">
        <v>15</v>
      </c>
      <c r="E63">
        <v>2022</v>
      </c>
      <c r="F63" t="s">
        <v>27</v>
      </c>
      <c r="G63" t="s">
        <v>39</v>
      </c>
      <c r="H63">
        <v>5</v>
      </c>
      <c r="I63">
        <v>11196.7</v>
      </c>
      <c r="J63" t="s">
        <v>23</v>
      </c>
      <c r="K63" s="3">
        <v>44686</v>
      </c>
      <c r="L63" t="s">
        <v>52</v>
      </c>
      <c r="M63" t="s">
        <v>65</v>
      </c>
      <c r="N63" s="6">
        <f>IF(Tabela5[[#This Row],[Dim_Cenario'[Nome Cenario']]]=Tabela5[[#Headers],[INIC Atual]],Tabela5[[#This Row],['[Valores_cenario']]],0)</f>
        <v>0</v>
      </c>
      <c r="O63" s="6">
        <f>IF(Tabela5[[#This Row],[Dim_Cenario'[Nome Cenario']]]=Tabela5[[#Headers],[Revisado]],Tabela5[[#This Row],['[Valores_cenario']]],0)</f>
        <v>0</v>
      </c>
      <c r="P63" s="6">
        <f>IF(Tabela5[[#This Row],[Dim_Cenario'[Nome Cenario']]]=Tabela5[[#Headers],[Realizado]],Tabela5[[#This Row],['[Valores_cenario']]],0)</f>
        <v>11196.7</v>
      </c>
    </row>
    <row r="64" spans="1:16">
      <c r="A64" t="s">
        <v>17</v>
      </c>
      <c r="B64" t="s">
        <v>18</v>
      </c>
      <c r="C64" t="s">
        <v>37</v>
      </c>
      <c r="D64" t="s">
        <v>15</v>
      </c>
      <c r="E64">
        <v>2024</v>
      </c>
      <c r="F64" t="s">
        <v>27</v>
      </c>
      <c r="G64" t="s">
        <v>28</v>
      </c>
      <c r="H64">
        <v>4</v>
      </c>
      <c r="I64">
        <v>11000</v>
      </c>
      <c r="J64" t="s">
        <v>23</v>
      </c>
      <c r="K64" s="3">
        <v>45383</v>
      </c>
      <c r="L64" t="s">
        <v>66</v>
      </c>
      <c r="M64" t="s">
        <v>67</v>
      </c>
      <c r="N64" s="6">
        <f>IF(Tabela5[[#This Row],[Dim_Cenario'[Nome Cenario']]]=Tabela5[[#Headers],[INIC Atual]],Tabela5[[#This Row],['[Valores_cenario']]],0)</f>
        <v>0</v>
      </c>
      <c r="O64" s="6">
        <f>IF(Tabela5[[#This Row],[Dim_Cenario'[Nome Cenario']]]=Tabela5[[#Headers],[Revisado]],Tabela5[[#This Row],['[Valores_cenario']]],0)</f>
        <v>0</v>
      </c>
      <c r="P64" s="6">
        <f>IF(Tabela5[[#This Row],[Dim_Cenario'[Nome Cenario']]]=Tabela5[[#Headers],[Realizado]],Tabela5[[#This Row],['[Valores_cenario']]],0)</f>
        <v>11000</v>
      </c>
    </row>
    <row r="65" spans="1:16">
      <c r="A65" t="s">
        <v>17</v>
      </c>
      <c r="B65" t="s">
        <v>18</v>
      </c>
      <c r="C65" t="s">
        <v>37</v>
      </c>
      <c r="D65" t="s">
        <v>15</v>
      </c>
      <c r="E65">
        <v>2024</v>
      </c>
      <c r="F65" t="s">
        <v>27</v>
      </c>
      <c r="G65" t="s">
        <v>39</v>
      </c>
      <c r="H65">
        <v>5</v>
      </c>
      <c r="I65">
        <v>11000</v>
      </c>
      <c r="J65" t="s">
        <v>23</v>
      </c>
      <c r="K65" s="3">
        <v>45418</v>
      </c>
      <c r="L65" t="s">
        <v>66</v>
      </c>
      <c r="M65" t="s">
        <v>68</v>
      </c>
      <c r="N65" s="6">
        <f>IF(Tabela5[[#This Row],[Dim_Cenario'[Nome Cenario']]]=Tabela5[[#Headers],[INIC Atual]],Tabela5[[#This Row],['[Valores_cenario']]],0)</f>
        <v>0</v>
      </c>
      <c r="O65" s="6">
        <f>IF(Tabela5[[#This Row],[Dim_Cenario'[Nome Cenario']]]=Tabela5[[#Headers],[Revisado]],Tabela5[[#This Row],['[Valores_cenario']]],0)</f>
        <v>0</v>
      </c>
      <c r="P65" s="6">
        <f>IF(Tabela5[[#This Row],[Dim_Cenario'[Nome Cenario']]]=Tabela5[[#Headers],[Realizado]],Tabela5[[#This Row],['[Valores_cenario']]],0)</f>
        <v>11000</v>
      </c>
    </row>
    <row r="66" hidden="1" spans="1:16">
      <c r="A66" t="s">
        <v>17</v>
      </c>
      <c r="B66" t="s">
        <v>18</v>
      </c>
      <c r="C66" t="s">
        <v>37</v>
      </c>
      <c r="D66" t="s">
        <v>15</v>
      </c>
      <c r="E66">
        <v>2019</v>
      </c>
      <c r="F66" t="s">
        <v>27</v>
      </c>
      <c r="G66" t="s">
        <v>29</v>
      </c>
      <c r="H66">
        <v>6</v>
      </c>
      <c r="I66">
        <v>23069.03</v>
      </c>
      <c r="J66" t="s">
        <v>36</v>
      </c>
      <c r="K66" s="3">
        <v>43640</v>
      </c>
      <c r="L66" t="s">
        <v>54</v>
      </c>
      <c r="M66" t="s">
        <v>69</v>
      </c>
      <c r="N66" s="6">
        <f>IF(Tabela5[[#This Row],[Dim_Cenario'[Nome Cenario']]]=Tabela5[[#Headers],[INIC Atual]],Tabela5[[#This Row],['[Valores_cenario']]],0)</f>
        <v>0</v>
      </c>
      <c r="O66" s="6">
        <f>IF(Tabela5[[#This Row],[Dim_Cenario'[Nome Cenario']]]=Tabela5[[#Headers],[Revisado]],Tabela5[[#This Row],['[Valores_cenario']]],0)</f>
        <v>0</v>
      </c>
      <c r="P66" s="6">
        <f>IF(Tabela5[[#This Row],[Dim_Cenario'[Nome Cenario']]]=Tabela5[[#Headers],[Realizado]],Tabela5[[#This Row],['[Valores_cenario']]],0)</f>
        <v>23069.03</v>
      </c>
    </row>
    <row r="67" spans="1:16">
      <c r="A67" t="s">
        <v>17</v>
      </c>
      <c r="B67" t="s">
        <v>18</v>
      </c>
      <c r="C67" t="s">
        <v>37</v>
      </c>
      <c r="D67" t="s">
        <v>15</v>
      </c>
      <c r="E67">
        <v>2024</v>
      </c>
      <c r="F67" t="s">
        <v>21</v>
      </c>
      <c r="G67" t="s">
        <v>22</v>
      </c>
      <c r="H67">
        <v>10</v>
      </c>
      <c r="I67">
        <v>11000</v>
      </c>
      <c r="J67" t="s">
        <v>23</v>
      </c>
      <c r="K67" s="3">
        <v>45566</v>
      </c>
      <c r="L67" t="s">
        <v>70</v>
      </c>
      <c r="M67" t="s">
        <v>71</v>
      </c>
      <c r="N67" s="6">
        <f>IF(Tabela5[[#This Row],[Dim_Cenario'[Nome Cenario']]]=Tabela5[[#Headers],[INIC Atual]],Tabela5[[#This Row],['[Valores_cenario']]],0)</f>
        <v>0</v>
      </c>
      <c r="O67" s="6">
        <f>IF(Tabela5[[#This Row],[Dim_Cenario'[Nome Cenario']]]=Tabela5[[#Headers],[Revisado]],Tabela5[[#This Row],['[Valores_cenario']]],0)</f>
        <v>0</v>
      </c>
      <c r="P67" s="6">
        <f>IF(Tabela5[[#This Row],[Dim_Cenario'[Nome Cenario']]]=Tabela5[[#Headers],[Realizado]],Tabela5[[#This Row],['[Valores_cenario']]],0)</f>
        <v>11000</v>
      </c>
    </row>
    <row r="68" spans="1:16">
      <c r="A68" t="s">
        <v>17</v>
      </c>
      <c r="B68" t="s">
        <v>18</v>
      </c>
      <c r="C68" t="s">
        <v>37</v>
      </c>
      <c r="D68" t="s">
        <v>15</v>
      </c>
      <c r="E68">
        <v>2025</v>
      </c>
      <c r="F68" t="s">
        <v>27</v>
      </c>
      <c r="G68" t="s">
        <v>29</v>
      </c>
      <c r="H68">
        <v>6</v>
      </c>
      <c r="I68">
        <v>11000</v>
      </c>
      <c r="J68" t="s">
        <v>33</v>
      </c>
      <c r="K68" s="3">
        <v>45818</v>
      </c>
      <c r="L68" t="s">
        <v>72</v>
      </c>
      <c r="M68" t="s">
        <v>73</v>
      </c>
      <c r="N68" s="6">
        <f>IF(Tabela5[[#This Row],[Dim_Cenario'[Nome Cenario']]]=Tabela5[[#Headers],[INIC Atual]],Tabela5[[#This Row],['[Valores_cenario']]],0)</f>
        <v>0</v>
      </c>
      <c r="O68" s="6">
        <f>IF(Tabela5[[#This Row],[Dim_Cenario'[Nome Cenario']]]=Tabela5[[#Headers],[Revisado]],Tabela5[[#This Row],['[Valores_cenario']]],0)</f>
        <v>0</v>
      </c>
      <c r="P68" s="6">
        <f>IF(Tabela5[[#This Row],[Dim_Cenario'[Nome Cenario']]]=Tabela5[[#Headers],[Realizado]],Tabela5[[#This Row],['[Valores_cenario']]],0)</f>
        <v>11000</v>
      </c>
    </row>
    <row r="69" spans="1:16">
      <c r="A69" t="s">
        <v>17</v>
      </c>
      <c r="B69" t="s">
        <v>18</v>
      </c>
      <c r="C69" t="s">
        <v>37</v>
      </c>
      <c r="D69" t="s">
        <v>15</v>
      </c>
      <c r="E69">
        <v>2019</v>
      </c>
      <c r="F69" t="s">
        <v>21</v>
      </c>
      <c r="G69" t="s">
        <v>24</v>
      </c>
      <c r="H69">
        <v>11</v>
      </c>
      <c r="I69">
        <v>10369.6</v>
      </c>
      <c r="J69" t="s">
        <v>36</v>
      </c>
      <c r="K69" s="3">
        <v>43775</v>
      </c>
      <c r="L69" t="s">
        <v>48</v>
      </c>
      <c r="M69" t="s">
        <v>74</v>
      </c>
      <c r="N69" s="6">
        <f>IF(Tabela5[[#This Row],[Dim_Cenario'[Nome Cenario']]]=Tabela5[[#Headers],[INIC Atual]],Tabela5[[#This Row],['[Valores_cenario']]],0)</f>
        <v>0</v>
      </c>
      <c r="O69" s="6">
        <f>IF(Tabela5[[#This Row],[Dim_Cenario'[Nome Cenario']]]=Tabela5[[#Headers],[Revisado]],Tabela5[[#This Row],['[Valores_cenario']]],0)</f>
        <v>0</v>
      </c>
      <c r="P69" s="6">
        <f>IF(Tabela5[[#This Row],[Dim_Cenario'[Nome Cenario']]]=Tabela5[[#Headers],[Realizado]],Tabela5[[#This Row],['[Valores_cenario']]],0)</f>
        <v>10369.6</v>
      </c>
    </row>
    <row r="70" spans="1:16">
      <c r="A70" t="s">
        <v>17</v>
      </c>
      <c r="B70" t="s">
        <v>18</v>
      </c>
      <c r="C70" t="s">
        <v>37</v>
      </c>
      <c r="D70" t="s">
        <v>15</v>
      </c>
      <c r="E70">
        <v>2021</v>
      </c>
      <c r="F70" t="s">
        <v>21</v>
      </c>
      <c r="G70" t="s">
        <v>32</v>
      </c>
      <c r="H70">
        <v>12</v>
      </c>
      <c r="I70">
        <v>10264.1</v>
      </c>
      <c r="J70" t="s">
        <v>36</v>
      </c>
      <c r="K70" s="3">
        <v>44561</v>
      </c>
      <c r="L70" t="s">
        <v>50</v>
      </c>
      <c r="M70" t="s">
        <v>75</v>
      </c>
      <c r="N70" s="6">
        <f>IF(Tabela5[[#This Row],[Dim_Cenario'[Nome Cenario']]]=Tabela5[[#Headers],[INIC Atual]],Tabela5[[#This Row],['[Valores_cenario']]],0)</f>
        <v>0</v>
      </c>
      <c r="O70" s="6">
        <f>IF(Tabela5[[#This Row],[Dim_Cenario'[Nome Cenario']]]=Tabela5[[#Headers],[Revisado]],Tabela5[[#This Row],['[Valores_cenario']]],0)</f>
        <v>0</v>
      </c>
      <c r="P70" s="6">
        <f>IF(Tabela5[[#This Row],[Dim_Cenario'[Nome Cenario']]]=Tabela5[[#Headers],[Realizado]],Tabela5[[#This Row],['[Valores_cenario']]],0)</f>
        <v>10264.1</v>
      </c>
    </row>
    <row r="71" spans="1:16">
      <c r="A71" t="s">
        <v>17</v>
      </c>
      <c r="B71" t="s">
        <v>18</v>
      </c>
      <c r="C71" t="s">
        <v>37</v>
      </c>
      <c r="D71" t="s">
        <v>15</v>
      </c>
      <c r="E71">
        <v>2022</v>
      </c>
      <c r="F71" t="s">
        <v>25</v>
      </c>
      <c r="G71" t="s">
        <v>35</v>
      </c>
      <c r="H71">
        <v>1</v>
      </c>
      <c r="I71">
        <v>10264.1</v>
      </c>
      <c r="J71" t="s">
        <v>23</v>
      </c>
      <c r="K71" s="3">
        <v>44589</v>
      </c>
      <c r="L71" t="s">
        <v>76</v>
      </c>
      <c r="M71" t="s">
        <v>77</v>
      </c>
      <c r="N71" s="6">
        <f>IF(Tabela5[[#This Row],[Dim_Cenario'[Nome Cenario']]]=Tabela5[[#Headers],[INIC Atual]],Tabela5[[#This Row],['[Valores_cenario']]],0)</f>
        <v>0</v>
      </c>
      <c r="O71" s="6">
        <f>IF(Tabela5[[#This Row],[Dim_Cenario'[Nome Cenario']]]=Tabela5[[#Headers],[Revisado]],Tabela5[[#This Row],['[Valores_cenario']]],0)</f>
        <v>0</v>
      </c>
      <c r="P71" s="6">
        <f>IF(Tabela5[[#This Row],[Dim_Cenario'[Nome Cenario']]]=Tabela5[[#Headers],[Realizado]],Tabela5[[#This Row],['[Valores_cenario']]],0)</f>
        <v>10264.1</v>
      </c>
    </row>
    <row r="72" spans="1:16">
      <c r="A72" t="s">
        <v>17</v>
      </c>
      <c r="B72" t="s">
        <v>18</v>
      </c>
      <c r="C72" t="s">
        <v>37</v>
      </c>
      <c r="D72" t="s">
        <v>15</v>
      </c>
      <c r="E72">
        <v>2025</v>
      </c>
      <c r="F72" t="s">
        <v>21</v>
      </c>
      <c r="G72" t="s">
        <v>32</v>
      </c>
      <c r="H72">
        <v>12</v>
      </c>
      <c r="I72">
        <v>9839.2</v>
      </c>
      <c r="J72" t="s">
        <v>33</v>
      </c>
      <c r="K72" s="3">
        <v>46006</v>
      </c>
      <c r="L72" t="s">
        <v>78</v>
      </c>
      <c r="M72" t="s">
        <v>79</v>
      </c>
      <c r="N72" s="6">
        <f>IF(Tabela5[[#This Row],[Dim_Cenario'[Nome Cenario']]]=Tabela5[[#Headers],[INIC Atual]],Tabela5[[#This Row],['[Valores_cenario']]],0)</f>
        <v>0</v>
      </c>
      <c r="O72" s="6">
        <f>IF(Tabela5[[#This Row],[Dim_Cenario'[Nome Cenario']]]=Tabela5[[#Headers],[Revisado]],Tabela5[[#This Row],['[Valores_cenario']]],0)</f>
        <v>0</v>
      </c>
      <c r="P72" s="6">
        <f>IF(Tabela5[[#This Row],[Dim_Cenario'[Nome Cenario']]]=Tabela5[[#Headers],[Realizado]],Tabela5[[#This Row],['[Valores_cenario']]],0)</f>
        <v>9839.2</v>
      </c>
    </row>
    <row r="73" spans="1:16">
      <c r="A73" t="s">
        <v>17</v>
      </c>
      <c r="B73" t="s">
        <v>18</v>
      </c>
      <c r="C73" t="s">
        <v>37</v>
      </c>
      <c r="D73" t="s">
        <v>15</v>
      </c>
      <c r="E73">
        <v>2025</v>
      </c>
      <c r="F73" t="s">
        <v>21</v>
      </c>
      <c r="G73" t="s">
        <v>24</v>
      </c>
      <c r="H73">
        <v>11</v>
      </c>
      <c r="I73">
        <v>9729.73</v>
      </c>
      <c r="J73" t="s">
        <v>33</v>
      </c>
      <c r="K73" s="3">
        <v>45991</v>
      </c>
      <c r="L73" t="s">
        <v>50</v>
      </c>
      <c r="M73" t="s">
        <v>80</v>
      </c>
      <c r="N73" s="6">
        <f>IF(Tabela5[[#This Row],[Dim_Cenario'[Nome Cenario']]]=Tabela5[[#Headers],[INIC Atual]],Tabela5[[#This Row],['[Valores_cenario']]],0)</f>
        <v>0</v>
      </c>
      <c r="O73" s="6">
        <f>IF(Tabela5[[#This Row],[Dim_Cenario'[Nome Cenario']]]=Tabela5[[#Headers],[Revisado]],Tabela5[[#This Row],['[Valores_cenario']]],0)</f>
        <v>0</v>
      </c>
      <c r="P73" s="6">
        <f>IF(Tabela5[[#This Row],[Dim_Cenario'[Nome Cenario']]]=Tabela5[[#Headers],[Realizado]],Tabela5[[#This Row],['[Valores_cenario']]],0)</f>
        <v>9729.73</v>
      </c>
    </row>
    <row r="74" spans="1:16">
      <c r="A74" t="s">
        <v>17</v>
      </c>
      <c r="B74" t="s">
        <v>18</v>
      </c>
      <c r="C74" t="s">
        <v>37</v>
      </c>
      <c r="D74" t="s">
        <v>15</v>
      </c>
      <c r="E74">
        <v>2019</v>
      </c>
      <c r="F74" t="s">
        <v>27</v>
      </c>
      <c r="G74" t="s">
        <v>39</v>
      </c>
      <c r="H74">
        <v>5</v>
      </c>
      <c r="I74">
        <v>9688.99</v>
      </c>
      <c r="J74" t="s">
        <v>36</v>
      </c>
      <c r="K74" s="3">
        <v>43605</v>
      </c>
      <c r="L74" t="s">
        <v>54</v>
      </c>
      <c r="M74" t="s">
        <v>81</v>
      </c>
      <c r="N74" s="6">
        <f>IF(Tabela5[[#This Row],[Dim_Cenario'[Nome Cenario']]]=Tabela5[[#Headers],[INIC Atual]],Tabela5[[#This Row],['[Valores_cenario']]],0)</f>
        <v>0</v>
      </c>
      <c r="O74" s="6">
        <f>IF(Tabela5[[#This Row],[Dim_Cenario'[Nome Cenario']]]=Tabela5[[#Headers],[Revisado]],Tabela5[[#This Row],['[Valores_cenario']]],0)</f>
        <v>0</v>
      </c>
      <c r="P74" s="6">
        <f>IF(Tabela5[[#This Row],[Dim_Cenario'[Nome Cenario']]]=Tabela5[[#Headers],[Realizado]],Tabela5[[#This Row],['[Valores_cenario']]],0)</f>
        <v>9688.99</v>
      </c>
    </row>
    <row r="75" spans="1:16">
      <c r="A75" t="s">
        <v>17</v>
      </c>
      <c r="B75" t="s">
        <v>18</v>
      </c>
      <c r="C75" t="s">
        <v>37</v>
      </c>
      <c r="D75" t="s">
        <v>15</v>
      </c>
      <c r="E75">
        <v>2022</v>
      </c>
      <c r="F75" t="s">
        <v>21</v>
      </c>
      <c r="G75" t="s">
        <v>24</v>
      </c>
      <c r="H75">
        <v>11</v>
      </c>
      <c r="I75">
        <v>9500</v>
      </c>
      <c r="J75" t="s">
        <v>23</v>
      </c>
      <c r="K75" s="3">
        <v>44895</v>
      </c>
      <c r="L75" t="s">
        <v>82</v>
      </c>
      <c r="M75" t="s">
        <v>83</v>
      </c>
      <c r="N75" s="6">
        <f>IF(Tabela5[[#This Row],[Dim_Cenario'[Nome Cenario']]]=Tabela5[[#Headers],[INIC Atual]],Tabela5[[#This Row],['[Valores_cenario']]],0)</f>
        <v>0</v>
      </c>
      <c r="O75" s="6">
        <f>IF(Tabela5[[#This Row],[Dim_Cenario'[Nome Cenario']]]=Tabela5[[#Headers],[Revisado]],Tabela5[[#This Row],['[Valores_cenario']]],0)</f>
        <v>0</v>
      </c>
      <c r="P75" s="6">
        <f>IF(Tabela5[[#This Row],[Dim_Cenario'[Nome Cenario']]]=Tabela5[[#Headers],[Realizado]],Tabela5[[#This Row],['[Valores_cenario']]],0)</f>
        <v>9500</v>
      </c>
    </row>
    <row r="76" spans="1:16">
      <c r="A76" t="s">
        <v>17</v>
      </c>
      <c r="B76" t="s">
        <v>18</v>
      </c>
      <c r="C76" t="s">
        <v>37</v>
      </c>
      <c r="D76" t="s">
        <v>15</v>
      </c>
      <c r="E76">
        <v>2022</v>
      </c>
      <c r="F76" t="s">
        <v>21</v>
      </c>
      <c r="G76" t="s">
        <v>32</v>
      </c>
      <c r="H76">
        <v>12</v>
      </c>
      <c r="I76">
        <v>9500</v>
      </c>
      <c r="J76" t="s">
        <v>23</v>
      </c>
      <c r="K76" s="3">
        <v>44908</v>
      </c>
      <c r="L76" t="s">
        <v>82</v>
      </c>
      <c r="M76" t="s">
        <v>84</v>
      </c>
      <c r="N76" s="6">
        <f>IF(Tabela5[[#This Row],[Dim_Cenario'[Nome Cenario']]]=Tabela5[[#Headers],[INIC Atual]],Tabela5[[#This Row],['[Valores_cenario']]],0)</f>
        <v>0</v>
      </c>
      <c r="O76" s="6">
        <f>IF(Tabela5[[#This Row],[Dim_Cenario'[Nome Cenario']]]=Tabela5[[#Headers],[Revisado]],Tabela5[[#This Row],['[Valores_cenario']]],0)</f>
        <v>0</v>
      </c>
      <c r="P76" s="6">
        <f>IF(Tabela5[[#This Row],[Dim_Cenario'[Nome Cenario']]]=Tabela5[[#Headers],[Realizado]],Tabela5[[#This Row],['[Valores_cenario']]],0)</f>
        <v>9500</v>
      </c>
    </row>
    <row r="77" hidden="1" spans="1:16">
      <c r="A77" t="s">
        <v>17</v>
      </c>
      <c r="B77" t="s">
        <v>18</v>
      </c>
      <c r="C77" t="s">
        <v>37</v>
      </c>
      <c r="D77" t="s">
        <v>15</v>
      </c>
      <c r="E77">
        <v>2019</v>
      </c>
      <c r="F77" t="s">
        <v>21</v>
      </c>
      <c r="G77" t="s">
        <v>32</v>
      </c>
      <c r="H77">
        <v>12</v>
      </c>
      <c r="I77">
        <v>56919.1</v>
      </c>
      <c r="J77" t="s">
        <v>36</v>
      </c>
      <c r="K77" s="3">
        <v>43811</v>
      </c>
      <c r="L77" t="s">
        <v>85</v>
      </c>
      <c r="M77" t="s">
        <v>86</v>
      </c>
      <c r="N77" s="6">
        <f>IF(Tabela5[[#This Row],[Dim_Cenario'[Nome Cenario']]]=Tabela5[[#Headers],[INIC Atual]],Tabela5[[#This Row],['[Valores_cenario']]],0)</f>
        <v>0</v>
      </c>
      <c r="O77" s="6">
        <f>IF(Tabela5[[#This Row],[Dim_Cenario'[Nome Cenario']]]=Tabela5[[#Headers],[Revisado]],Tabela5[[#This Row],['[Valores_cenario']]],0)</f>
        <v>0</v>
      </c>
      <c r="P77" s="6">
        <f>IF(Tabela5[[#This Row],[Dim_Cenario'[Nome Cenario']]]=Tabela5[[#Headers],[Realizado]],Tabela5[[#This Row],['[Valores_cenario']]],0)</f>
        <v>56919.1</v>
      </c>
    </row>
    <row r="78" hidden="1" spans="1:16">
      <c r="A78" t="s">
        <v>17</v>
      </c>
      <c r="B78" t="s">
        <v>18</v>
      </c>
      <c r="C78" t="s">
        <v>37</v>
      </c>
      <c r="D78" t="s">
        <v>15</v>
      </c>
      <c r="E78">
        <v>2019</v>
      </c>
      <c r="F78" t="s">
        <v>21</v>
      </c>
      <c r="G78" t="s">
        <v>32</v>
      </c>
      <c r="H78">
        <v>12</v>
      </c>
      <c r="I78">
        <v>42922.6</v>
      </c>
      <c r="J78" t="s">
        <v>36</v>
      </c>
      <c r="K78" s="3">
        <v>43811</v>
      </c>
      <c r="L78" t="s">
        <v>85</v>
      </c>
      <c r="M78" t="s">
        <v>87</v>
      </c>
      <c r="N78" s="6">
        <f>IF(Tabela5[[#This Row],[Dim_Cenario'[Nome Cenario']]]=Tabela5[[#Headers],[INIC Atual]],Tabela5[[#This Row],['[Valores_cenario']]],0)</f>
        <v>0</v>
      </c>
      <c r="O78" s="6">
        <f>IF(Tabela5[[#This Row],[Dim_Cenario'[Nome Cenario']]]=Tabela5[[#Headers],[Revisado]],Tabela5[[#This Row],['[Valores_cenario']]],0)</f>
        <v>0</v>
      </c>
      <c r="P78" s="6">
        <f>IF(Tabela5[[#This Row],[Dim_Cenario'[Nome Cenario']]]=Tabela5[[#Headers],[Realizado]],Tabela5[[#This Row],['[Valores_cenario']]],0)</f>
        <v>42922.6</v>
      </c>
    </row>
    <row r="79" spans="1:16">
      <c r="A79" t="s">
        <v>17</v>
      </c>
      <c r="B79" t="s">
        <v>18</v>
      </c>
      <c r="C79" t="s">
        <v>37</v>
      </c>
      <c r="D79" t="s">
        <v>15</v>
      </c>
      <c r="E79">
        <v>2023</v>
      </c>
      <c r="F79" t="s">
        <v>25</v>
      </c>
      <c r="G79" t="s">
        <v>38</v>
      </c>
      <c r="H79">
        <v>3</v>
      </c>
      <c r="I79">
        <v>9500</v>
      </c>
      <c r="J79" t="s">
        <v>23</v>
      </c>
      <c r="K79" s="3">
        <v>45001</v>
      </c>
      <c r="L79" t="s">
        <v>82</v>
      </c>
      <c r="M79" t="s">
        <v>88</v>
      </c>
      <c r="N79" s="6">
        <f>IF(Tabela5[[#This Row],[Dim_Cenario'[Nome Cenario']]]=Tabela5[[#Headers],[INIC Atual]],Tabela5[[#This Row],['[Valores_cenario']]],0)</f>
        <v>0</v>
      </c>
      <c r="O79" s="6">
        <f>IF(Tabela5[[#This Row],[Dim_Cenario'[Nome Cenario']]]=Tabela5[[#Headers],[Revisado]],Tabela5[[#This Row],['[Valores_cenario']]],0)</f>
        <v>0</v>
      </c>
      <c r="P79" s="6">
        <f>IF(Tabela5[[#This Row],[Dim_Cenario'[Nome Cenario']]]=Tabela5[[#Headers],[Realizado]],Tabela5[[#This Row],['[Valores_cenario']]],0)</f>
        <v>9500</v>
      </c>
    </row>
    <row r="80" spans="1:16">
      <c r="A80" t="s">
        <v>17</v>
      </c>
      <c r="B80" t="s">
        <v>18</v>
      </c>
      <c r="C80" t="s">
        <v>37</v>
      </c>
      <c r="D80" t="s">
        <v>15</v>
      </c>
      <c r="E80">
        <v>2022</v>
      </c>
      <c r="F80" t="s">
        <v>27</v>
      </c>
      <c r="G80" t="s">
        <v>28</v>
      </c>
      <c r="H80">
        <v>4</v>
      </c>
      <c r="I80">
        <v>9428.8</v>
      </c>
      <c r="J80" t="s">
        <v>23</v>
      </c>
      <c r="K80" s="3">
        <v>44676</v>
      </c>
      <c r="L80" t="s">
        <v>52</v>
      </c>
      <c r="M80" t="s">
        <v>89</v>
      </c>
      <c r="N80" s="6">
        <f>IF(Tabela5[[#This Row],[Dim_Cenario'[Nome Cenario']]]=Tabela5[[#Headers],[INIC Atual]],Tabela5[[#This Row],['[Valores_cenario']]],0)</f>
        <v>0</v>
      </c>
      <c r="O80" s="6">
        <f>IF(Tabela5[[#This Row],[Dim_Cenario'[Nome Cenario']]]=Tabela5[[#Headers],[Revisado]],Tabela5[[#This Row],['[Valores_cenario']]],0)</f>
        <v>0</v>
      </c>
      <c r="P80" s="6">
        <f>IF(Tabela5[[#This Row],[Dim_Cenario'[Nome Cenario']]]=Tabela5[[#Headers],[Realizado]],Tabela5[[#This Row],['[Valores_cenario']]],0)</f>
        <v>9428.8</v>
      </c>
    </row>
    <row r="81" spans="1:16">
      <c r="A81" t="s">
        <v>17</v>
      </c>
      <c r="B81" t="s">
        <v>18</v>
      </c>
      <c r="C81" t="s">
        <v>37</v>
      </c>
      <c r="D81" t="s">
        <v>15</v>
      </c>
      <c r="E81">
        <v>2021</v>
      </c>
      <c r="F81" t="s">
        <v>30</v>
      </c>
      <c r="G81" t="s">
        <v>41</v>
      </c>
      <c r="H81">
        <v>9</v>
      </c>
      <c r="I81">
        <v>9300</v>
      </c>
      <c r="J81" t="s">
        <v>36</v>
      </c>
      <c r="K81" s="3">
        <v>44469</v>
      </c>
      <c r="L81" t="s">
        <v>90</v>
      </c>
      <c r="M81" t="s">
        <v>91</v>
      </c>
      <c r="N81" s="6">
        <f>IF(Tabela5[[#This Row],[Dim_Cenario'[Nome Cenario']]]=Tabela5[[#Headers],[INIC Atual]],Tabela5[[#This Row],['[Valores_cenario']]],0)</f>
        <v>0</v>
      </c>
      <c r="O81" s="6">
        <f>IF(Tabela5[[#This Row],[Dim_Cenario'[Nome Cenario']]]=Tabela5[[#Headers],[Revisado]],Tabela5[[#This Row],['[Valores_cenario']]],0)</f>
        <v>0</v>
      </c>
      <c r="P81" s="6">
        <f>IF(Tabela5[[#This Row],[Dim_Cenario'[Nome Cenario']]]=Tabela5[[#Headers],[Realizado]],Tabela5[[#This Row],['[Valores_cenario']]],0)</f>
        <v>9300</v>
      </c>
    </row>
    <row r="82" spans="1:16">
      <c r="A82" t="s">
        <v>17</v>
      </c>
      <c r="B82" t="s">
        <v>92</v>
      </c>
      <c r="C82" t="s">
        <v>37</v>
      </c>
      <c r="D82" t="s">
        <v>15</v>
      </c>
      <c r="E82">
        <v>2025</v>
      </c>
      <c r="F82" t="s">
        <v>21</v>
      </c>
      <c r="G82" t="s">
        <v>22</v>
      </c>
      <c r="H82">
        <v>10</v>
      </c>
      <c r="I82">
        <v>9219</v>
      </c>
      <c r="J82" t="s">
        <v>33</v>
      </c>
      <c r="K82" s="3">
        <v>45961</v>
      </c>
      <c r="M82" t="s">
        <v>93</v>
      </c>
      <c r="N82" s="6">
        <f>IF(Tabela5[[#This Row],[Dim_Cenario'[Nome Cenario']]]=Tabela5[[#Headers],[INIC Atual]],Tabela5[[#This Row],['[Valores_cenario']]],0)</f>
        <v>0</v>
      </c>
      <c r="O82" s="6">
        <f>IF(Tabela5[[#This Row],[Dim_Cenario'[Nome Cenario']]]=Tabela5[[#Headers],[Revisado]],Tabela5[[#This Row],['[Valores_cenario']]],0)</f>
        <v>0</v>
      </c>
      <c r="P82" s="6">
        <f>IF(Tabela5[[#This Row],[Dim_Cenario'[Nome Cenario']]]=Tabela5[[#Headers],[Realizado]],Tabela5[[#This Row],['[Valores_cenario']]],0)</f>
        <v>9219</v>
      </c>
    </row>
    <row r="83" spans="1:16">
      <c r="A83" t="s">
        <v>17</v>
      </c>
      <c r="B83" t="s">
        <v>18</v>
      </c>
      <c r="C83" t="s">
        <v>37</v>
      </c>
      <c r="D83" t="s">
        <v>15</v>
      </c>
      <c r="E83">
        <v>2024</v>
      </c>
      <c r="F83" t="s">
        <v>21</v>
      </c>
      <c r="G83" t="s">
        <v>32</v>
      </c>
      <c r="H83">
        <v>12</v>
      </c>
      <c r="I83">
        <v>8960</v>
      </c>
      <c r="J83" t="s">
        <v>23</v>
      </c>
      <c r="K83" s="3">
        <v>45628</v>
      </c>
      <c r="L83" t="s">
        <v>94</v>
      </c>
      <c r="M83" t="s">
        <v>95</v>
      </c>
      <c r="N83" s="6">
        <f>IF(Tabela5[[#This Row],[Dim_Cenario'[Nome Cenario']]]=Tabela5[[#Headers],[INIC Atual]],Tabela5[[#This Row],['[Valores_cenario']]],0)</f>
        <v>0</v>
      </c>
      <c r="O83" s="6">
        <f>IF(Tabela5[[#This Row],[Dim_Cenario'[Nome Cenario']]]=Tabela5[[#Headers],[Revisado]],Tabela5[[#This Row],['[Valores_cenario']]],0)</f>
        <v>0</v>
      </c>
      <c r="P83" s="6">
        <f>IF(Tabela5[[#This Row],[Dim_Cenario'[Nome Cenario']]]=Tabela5[[#Headers],[Realizado]],Tabela5[[#This Row],['[Valores_cenario']]],0)</f>
        <v>8960</v>
      </c>
    </row>
    <row r="84" hidden="1" spans="1:16">
      <c r="A84" t="s">
        <v>17</v>
      </c>
      <c r="B84" t="s">
        <v>18</v>
      </c>
      <c r="C84" t="s">
        <v>37</v>
      </c>
      <c r="D84" t="s">
        <v>20</v>
      </c>
      <c r="E84">
        <v>2020</v>
      </c>
      <c r="F84" t="s">
        <v>25</v>
      </c>
      <c r="G84" t="s">
        <v>35</v>
      </c>
      <c r="H84">
        <v>1</v>
      </c>
      <c r="I84">
        <v>13495.66</v>
      </c>
      <c r="J84" t="s">
        <v>36</v>
      </c>
      <c r="K84" s="3"/>
      <c r="N84" s="6">
        <f>IF(Tabela5[[#This Row],[Dim_Cenario'[Nome Cenario']]]=Tabela5[[#Headers],[INIC Atual]],Tabela5[[#This Row],['[Valores_cenario']]],0)</f>
        <v>13495.66</v>
      </c>
      <c r="O84" s="6">
        <f>IF(Tabela5[[#This Row],[Dim_Cenario'[Nome Cenario']]]=Tabela5[[#Headers],[Revisado]],Tabela5[[#This Row],['[Valores_cenario']]],0)</f>
        <v>0</v>
      </c>
      <c r="P84" s="6">
        <f>IF(Tabela5[[#This Row],[Dim_Cenario'[Nome Cenario']]]=Tabela5[[#Headers],[Realizado]],Tabela5[[#This Row],['[Valores_cenario']]],0)</f>
        <v>0</v>
      </c>
    </row>
    <row r="85" hidden="1" spans="1:16">
      <c r="A85" t="s">
        <v>17</v>
      </c>
      <c r="B85" t="s">
        <v>18</v>
      </c>
      <c r="C85" t="s">
        <v>37</v>
      </c>
      <c r="D85" t="s">
        <v>20</v>
      </c>
      <c r="E85">
        <v>2020</v>
      </c>
      <c r="F85" t="s">
        <v>25</v>
      </c>
      <c r="G85" t="s">
        <v>26</v>
      </c>
      <c r="H85">
        <v>2</v>
      </c>
      <c r="I85">
        <v>13495.66</v>
      </c>
      <c r="J85" t="s">
        <v>36</v>
      </c>
      <c r="K85" s="3"/>
      <c r="N85" s="6">
        <f>IF(Tabela5[[#This Row],[Dim_Cenario'[Nome Cenario']]]=Tabela5[[#Headers],[INIC Atual]],Tabela5[[#This Row],['[Valores_cenario']]],0)</f>
        <v>13495.66</v>
      </c>
      <c r="O85" s="6">
        <f>IF(Tabela5[[#This Row],[Dim_Cenario'[Nome Cenario']]]=Tabela5[[#Headers],[Revisado]],Tabela5[[#This Row],['[Valores_cenario']]],0)</f>
        <v>0</v>
      </c>
      <c r="P85" s="6">
        <f>IF(Tabela5[[#This Row],[Dim_Cenario'[Nome Cenario']]]=Tabela5[[#Headers],[Realizado]],Tabela5[[#This Row],['[Valores_cenario']]],0)</f>
        <v>0</v>
      </c>
    </row>
    <row r="86" hidden="1" spans="1:16">
      <c r="A86" t="s">
        <v>17</v>
      </c>
      <c r="B86" t="s">
        <v>18</v>
      </c>
      <c r="C86" t="s">
        <v>37</v>
      </c>
      <c r="D86" t="s">
        <v>20</v>
      </c>
      <c r="E86">
        <v>2020</v>
      </c>
      <c r="F86" t="s">
        <v>25</v>
      </c>
      <c r="G86" t="s">
        <v>38</v>
      </c>
      <c r="H86">
        <v>3</v>
      </c>
      <c r="I86">
        <v>24326.34</v>
      </c>
      <c r="J86" t="s">
        <v>36</v>
      </c>
      <c r="K86" s="3"/>
      <c r="N86" s="6">
        <f>IF(Tabela5[[#This Row],[Dim_Cenario'[Nome Cenario']]]=Tabela5[[#Headers],[INIC Atual]],Tabela5[[#This Row],['[Valores_cenario']]],0)</f>
        <v>24326.34</v>
      </c>
      <c r="O86" s="6">
        <f>IF(Tabela5[[#This Row],[Dim_Cenario'[Nome Cenario']]]=Tabela5[[#Headers],[Revisado]],Tabela5[[#This Row],['[Valores_cenario']]],0)</f>
        <v>0</v>
      </c>
      <c r="P86" s="6">
        <f>IF(Tabela5[[#This Row],[Dim_Cenario'[Nome Cenario']]]=Tabela5[[#Headers],[Realizado]],Tabela5[[#This Row],['[Valores_cenario']]],0)</f>
        <v>0</v>
      </c>
    </row>
    <row r="87" hidden="1" spans="1:16">
      <c r="A87" t="s">
        <v>17</v>
      </c>
      <c r="B87" t="s">
        <v>18</v>
      </c>
      <c r="C87" t="s">
        <v>37</v>
      </c>
      <c r="D87" t="s">
        <v>20</v>
      </c>
      <c r="E87">
        <v>2020</v>
      </c>
      <c r="F87" t="s">
        <v>27</v>
      </c>
      <c r="G87" t="s">
        <v>28</v>
      </c>
      <c r="H87">
        <v>4</v>
      </c>
      <c r="I87">
        <v>75061.07</v>
      </c>
      <c r="J87" t="s">
        <v>36</v>
      </c>
      <c r="K87" s="3"/>
      <c r="N87" s="6">
        <f>IF(Tabela5[[#This Row],[Dim_Cenario'[Nome Cenario']]]=Tabela5[[#Headers],[INIC Atual]],Tabela5[[#This Row],['[Valores_cenario']]],0)</f>
        <v>75061.07</v>
      </c>
      <c r="O87" s="6">
        <f>IF(Tabela5[[#This Row],[Dim_Cenario'[Nome Cenario']]]=Tabela5[[#Headers],[Revisado]],Tabela5[[#This Row],['[Valores_cenario']]],0)</f>
        <v>0</v>
      </c>
      <c r="P87" s="6">
        <f>IF(Tabela5[[#This Row],[Dim_Cenario'[Nome Cenario']]]=Tabela5[[#Headers],[Realizado]],Tabela5[[#This Row],['[Valores_cenario']]],0)</f>
        <v>0</v>
      </c>
    </row>
    <row r="88" hidden="1" spans="1:16">
      <c r="A88" t="s">
        <v>17</v>
      </c>
      <c r="B88" t="s">
        <v>18</v>
      </c>
      <c r="C88" t="s">
        <v>37</v>
      </c>
      <c r="D88" t="s">
        <v>20</v>
      </c>
      <c r="E88">
        <v>2020</v>
      </c>
      <c r="F88" t="s">
        <v>27</v>
      </c>
      <c r="G88" t="s">
        <v>39</v>
      </c>
      <c r="H88">
        <v>5</v>
      </c>
      <c r="I88">
        <v>10341.79</v>
      </c>
      <c r="J88" t="s">
        <v>36</v>
      </c>
      <c r="K88" s="3"/>
      <c r="N88" s="6">
        <f>IF(Tabela5[[#This Row],[Dim_Cenario'[Nome Cenario']]]=Tabela5[[#Headers],[INIC Atual]],Tabela5[[#This Row],['[Valores_cenario']]],0)</f>
        <v>10341.79</v>
      </c>
      <c r="O88" s="6">
        <f>IF(Tabela5[[#This Row],[Dim_Cenario'[Nome Cenario']]]=Tabela5[[#Headers],[Revisado]],Tabela5[[#This Row],['[Valores_cenario']]],0)</f>
        <v>0</v>
      </c>
      <c r="P88" s="6">
        <f>IF(Tabela5[[#This Row],[Dim_Cenario'[Nome Cenario']]]=Tabela5[[#Headers],[Realizado]],Tabela5[[#This Row],['[Valores_cenario']]],0)</f>
        <v>0</v>
      </c>
    </row>
    <row r="89" hidden="1" spans="1:16">
      <c r="A89" t="s">
        <v>17</v>
      </c>
      <c r="B89" t="s">
        <v>18</v>
      </c>
      <c r="C89" t="s">
        <v>37</v>
      </c>
      <c r="D89" t="s">
        <v>20</v>
      </c>
      <c r="E89">
        <v>2020</v>
      </c>
      <c r="F89" t="s">
        <v>27</v>
      </c>
      <c r="G89" t="s">
        <v>29</v>
      </c>
      <c r="H89">
        <v>6</v>
      </c>
      <c r="I89">
        <v>19364.3</v>
      </c>
      <c r="J89" t="s">
        <v>36</v>
      </c>
      <c r="K89" s="3"/>
      <c r="N89" s="6">
        <f>IF(Tabela5[[#This Row],[Dim_Cenario'[Nome Cenario']]]=Tabela5[[#Headers],[INIC Atual]],Tabela5[[#This Row],['[Valores_cenario']]],0)</f>
        <v>19364.3</v>
      </c>
      <c r="O89" s="6">
        <f>IF(Tabela5[[#This Row],[Dim_Cenario'[Nome Cenario']]]=Tabela5[[#Headers],[Revisado]],Tabela5[[#This Row],['[Valores_cenario']]],0)</f>
        <v>0</v>
      </c>
      <c r="P89" s="6">
        <f>IF(Tabela5[[#This Row],[Dim_Cenario'[Nome Cenario']]]=Tabela5[[#Headers],[Realizado]],Tabela5[[#This Row],['[Valores_cenario']]],0)</f>
        <v>0</v>
      </c>
    </row>
    <row r="90" hidden="1" spans="1:16">
      <c r="A90" t="s">
        <v>17</v>
      </c>
      <c r="B90" t="s">
        <v>18</v>
      </c>
      <c r="C90" t="s">
        <v>37</v>
      </c>
      <c r="D90" t="s">
        <v>20</v>
      </c>
      <c r="E90">
        <v>2020</v>
      </c>
      <c r="F90" t="s">
        <v>30</v>
      </c>
      <c r="G90" t="s">
        <v>40</v>
      </c>
      <c r="H90">
        <v>7</v>
      </c>
      <c r="I90">
        <v>8533.61</v>
      </c>
      <c r="J90" t="s">
        <v>36</v>
      </c>
      <c r="K90" s="3"/>
      <c r="N90" s="6">
        <f>IF(Tabela5[[#This Row],[Dim_Cenario'[Nome Cenario']]]=Tabela5[[#Headers],[INIC Atual]],Tabela5[[#This Row],['[Valores_cenario']]],0)</f>
        <v>8533.61</v>
      </c>
      <c r="O90" s="6">
        <f>IF(Tabela5[[#This Row],[Dim_Cenario'[Nome Cenario']]]=Tabela5[[#Headers],[Revisado]],Tabela5[[#This Row],['[Valores_cenario']]],0)</f>
        <v>0</v>
      </c>
      <c r="P90" s="6">
        <f>IF(Tabela5[[#This Row],[Dim_Cenario'[Nome Cenario']]]=Tabela5[[#Headers],[Realizado]],Tabela5[[#This Row],['[Valores_cenario']]],0)</f>
        <v>0</v>
      </c>
    </row>
    <row r="91" hidden="1" spans="1:16">
      <c r="A91" t="s">
        <v>17</v>
      </c>
      <c r="B91" t="s">
        <v>18</v>
      </c>
      <c r="C91" t="s">
        <v>37</v>
      </c>
      <c r="D91" t="s">
        <v>20</v>
      </c>
      <c r="E91">
        <v>2020</v>
      </c>
      <c r="F91" t="s">
        <v>30</v>
      </c>
      <c r="G91" t="s">
        <v>31</v>
      </c>
      <c r="H91">
        <v>8</v>
      </c>
      <c r="I91">
        <v>8533.61</v>
      </c>
      <c r="J91" t="s">
        <v>36</v>
      </c>
      <c r="K91" s="3"/>
      <c r="N91" s="6">
        <f>IF(Tabela5[[#This Row],[Dim_Cenario'[Nome Cenario']]]=Tabela5[[#Headers],[INIC Atual]],Tabela5[[#This Row],['[Valores_cenario']]],0)</f>
        <v>8533.61</v>
      </c>
      <c r="O91" s="6">
        <f>IF(Tabela5[[#This Row],[Dim_Cenario'[Nome Cenario']]]=Tabela5[[#Headers],[Revisado]],Tabela5[[#This Row],['[Valores_cenario']]],0)</f>
        <v>0</v>
      </c>
      <c r="P91" s="6">
        <f>IF(Tabela5[[#This Row],[Dim_Cenario'[Nome Cenario']]]=Tabela5[[#Headers],[Realizado]],Tabela5[[#This Row],['[Valores_cenario']]],0)</f>
        <v>0</v>
      </c>
    </row>
    <row r="92" hidden="1" spans="1:16">
      <c r="A92" t="s">
        <v>17</v>
      </c>
      <c r="B92" t="s">
        <v>18</v>
      </c>
      <c r="C92" t="s">
        <v>37</v>
      </c>
      <c r="D92" t="s">
        <v>20</v>
      </c>
      <c r="E92">
        <v>2020</v>
      </c>
      <c r="F92" t="s">
        <v>30</v>
      </c>
      <c r="G92" t="s">
        <v>41</v>
      </c>
      <c r="H92">
        <v>9</v>
      </c>
      <c r="I92">
        <v>19364.3</v>
      </c>
      <c r="J92" t="s">
        <v>36</v>
      </c>
      <c r="K92" s="3"/>
      <c r="N92" s="6">
        <f>IF(Tabela5[[#This Row],[Dim_Cenario'[Nome Cenario']]]=Tabela5[[#Headers],[INIC Atual]],Tabela5[[#This Row],['[Valores_cenario']]],0)</f>
        <v>19364.3</v>
      </c>
      <c r="O92" s="6">
        <f>IF(Tabela5[[#This Row],[Dim_Cenario'[Nome Cenario']]]=Tabela5[[#Headers],[Revisado]],Tabela5[[#This Row],['[Valores_cenario']]],0)</f>
        <v>0</v>
      </c>
      <c r="P92" s="6">
        <f>IF(Tabela5[[#This Row],[Dim_Cenario'[Nome Cenario']]]=Tabela5[[#Headers],[Realizado]],Tabela5[[#This Row],['[Valores_cenario']]],0)</f>
        <v>0</v>
      </c>
    </row>
    <row r="93" hidden="1" spans="1:16">
      <c r="A93" t="s">
        <v>17</v>
      </c>
      <c r="B93" t="s">
        <v>18</v>
      </c>
      <c r="C93" t="s">
        <v>37</v>
      </c>
      <c r="D93" t="s">
        <v>20</v>
      </c>
      <c r="E93">
        <v>2020</v>
      </c>
      <c r="F93" t="s">
        <v>21</v>
      </c>
      <c r="G93" t="s">
        <v>22</v>
      </c>
      <c r="H93">
        <v>10</v>
      </c>
      <c r="I93">
        <v>76869.25</v>
      </c>
      <c r="J93" t="s">
        <v>36</v>
      </c>
      <c r="K93" s="3"/>
      <c r="N93" s="6">
        <f>IF(Tabela5[[#This Row],[Dim_Cenario'[Nome Cenario']]]=Tabela5[[#Headers],[INIC Atual]],Tabela5[[#This Row],['[Valores_cenario']]],0)</f>
        <v>76869.25</v>
      </c>
      <c r="O93" s="6">
        <f>IF(Tabela5[[#This Row],[Dim_Cenario'[Nome Cenario']]]=Tabela5[[#Headers],[Revisado]],Tabela5[[#This Row],['[Valores_cenario']]],0)</f>
        <v>0</v>
      </c>
      <c r="P93" s="6">
        <f>IF(Tabela5[[#This Row],[Dim_Cenario'[Nome Cenario']]]=Tabela5[[#Headers],[Realizado]],Tabela5[[#This Row],['[Valores_cenario']]],0)</f>
        <v>0</v>
      </c>
    </row>
    <row r="94" hidden="1" spans="1:16">
      <c r="A94" t="s">
        <v>17</v>
      </c>
      <c r="B94" t="s">
        <v>18</v>
      </c>
      <c r="C94" t="s">
        <v>37</v>
      </c>
      <c r="D94" t="s">
        <v>20</v>
      </c>
      <c r="E94">
        <v>2020</v>
      </c>
      <c r="F94" t="s">
        <v>21</v>
      </c>
      <c r="G94" t="s">
        <v>24</v>
      </c>
      <c r="H94">
        <v>11</v>
      </c>
      <c r="I94">
        <v>19364.3</v>
      </c>
      <c r="J94" t="s">
        <v>36</v>
      </c>
      <c r="K94" s="3"/>
      <c r="N94" s="6">
        <f>IF(Tabela5[[#This Row],[Dim_Cenario'[Nome Cenario']]]=Tabela5[[#Headers],[INIC Atual]],Tabela5[[#This Row],['[Valores_cenario']]],0)</f>
        <v>19364.3</v>
      </c>
      <c r="O94" s="6">
        <f>IF(Tabela5[[#This Row],[Dim_Cenario'[Nome Cenario']]]=Tabela5[[#Headers],[Revisado]],Tabela5[[#This Row],['[Valores_cenario']]],0)</f>
        <v>0</v>
      </c>
      <c r="P94" s="6">
        <f>IF(Tabela5[[#This Row],[Dim_Cenario'[Nome Cenario']]]=Tabela5[[#Headers],[Realizado]],Tabela5[[#This Row],['[Valores_cenario']]],0)</f>
        <v>0</v>
      </c>
    </row>
    <row r="95" hidden="1" spans="1:16">
      <c r="A95" t="s">
        <v>17</v>
      </c>
      <c r="B95" t="s">
        <v>18</v>
      </c>
      <c r="C95" t="s">
        <v>37</v>
      </c>
      <c r="D95" t="s">
        <v>20</v>
      </c>
      <c r="E95">
        <v>2020</v>
      </c>
      <c r="F95" t="s">
        <v>21</v>
      </c>
      <c r="G95" t="s">
        <v>32</v>
      </c>
      <c r="H95">
        <v>12</v>
      </c>
      <c r="I95">
        <v>8533.61</v>
      </c>
      <c r="J95" t="s">
        <v>36</v>
      </c>
      <c r="K95" s="3"/>
      <c r="N95" s="6">
        <f>IF(Tabela5[[#This Row],[Dim_Cenario'[Nome Cenario']]]=Tabela5[[#Headers],[INIC Atual]],Tabela5[[#This Row],['[Valores_cenario']]],0)</f>
        <v>8533.61</v>
      </c>
      <c r="O95" s="6">
        <f>IF(Tabela5[[#This Row],[Dim_Cenario'[Nome Cenario']]]=Tabela5[[#Headers],[Revisado]],Tabela5[[#This Row],['[Valores_cenario']]],0)</f>
        <v>0</v>
      </c>
      <c r="P95" s="6">
        <f>IF(Tabela5[[#This Row],[Dim_Cenario'[Nome Cenario']]]=Tabela5[[#Headers],[Realizado]],Tabela5[[#This Row],['[Valores_cenario']]],0)</f>
        <v>0</v>
      </c>
    </row>
    <row r="96" hidden="1" spans="1:16">
      <c r="A96" t="s">
        <v>17</v>
      </c>
      <c r="B96" t="s">
        <v>18</v>
      </c>
      <c r="C96" t="s">
        <v>37</v>
      </c>
      <c r="D96" t="s">
        <v>14</v>
      </c>
      <c r="E96">
        <v>2020</v>
      </c>
      <c r="F96" t="s">
        <v>25</v>
      </c>
      <c r="G96" t="s">
        <v>35</v>
      </c>
      <c r="H96">
        <v>1</v>
      </c>
      <c r="I96">
        <v>7459.86</v>
      </c>
      <c r="J96" t="s">
        <v>36</v>
      </c>
      <c r="K96" s="3"/>
      <c r="N96" s="6">
        <f>IF(Tabela5[[#This Row],[Dim_Cenario'[Nome Cenario']]]=Tabela5[[#Headers],[INIC Atual]],Tabela5[[#This Row],['[Valores_cenario']]],0)</f>
        <v>0</v>
      </c>
      <c r="O96" s="6">
        <f>IF(Tabela5[[#This Row],[Dim_Cenario'[Nome Cenario']]]=Tabela5[[#Headers],[Revisado]],Tabela5[[#This Row],['[Valores_cenario']]],0)</f>
        <v>7459.86</v>
      </c>
      <c r="P96" s="6">
        <f>IF(Tabela5[[#This Row],[Dim_Cenario'[Nome Cenario']]]=Tabela5[[#Headers],[Realizado]],Tabela5[[#This Row],['[Valores_cenario']]],0)</f>
        <v>0</v>
      </c>
    </row>
    <row r="97" hidden="1" spans="1:16">
      <c r="A97" t="s">
        <v>17</v>
      </c>
      <c r="B97" t="s">
        <v>18</v>
      </c>
      <c r="C97" t="s">
        <v>37</v>
      </c>
      <c r="D97" t="s">
        <v>14</v>
      </c>
      <c r="E97">
        <v>2020</v>
      </c>
      <c r="F97" t="s">
        <v>25</v>
      </c>
      <c r="G97" t="s">
        <v>26</v>
      </c>
      <c r="H97">
        <v>2</v>
      </c>
      <c r="I97">
        <v>12938.03</v>
      </c>
      <c r="J97" t="s">
        <v>36</v>
      </c>
      <c r="K97" s="3"/>
      <c r="N97" s="6">
        <f>IF(Tabela5[[#This Row],[Dim_Cenario'[Nome Cenario']]]=Tabela5[[#Headers],[INIC Atual]],Tabela5[[#This Row],['[Valores_cenario']]],0)</f>
        <v>0</v>
      </c>
      <c r="O97" s="6">
        <f>IF(Tabela5[[#This Row],[Dim_Cenario'[Nome Cenario']]]=Tabela5[[#Headers],[Revisado]],Tabela5[[#This Row],['[Valores_cenario']]],0)</f>
        <v>12938.03</v>
      </c>
      <c r="P97" s="6">
        <f>IF(Tabela5[[#This Row],[Dim_Cenario'[Nome Cenario']]]=Tabela5[[#Headers],[Realizado]],Tabela5[[#This Row],['[Valores_cenario']]],0)</f>
        <v>0</v>
      </c>
    </row>
    <row r="98" hidden="1" spans="1:16">
      <c r="A98" t="s">
        <v>17</v>
      </c>
      <c r="B98" t="s">
        <v>18</v>
      </c>
      <c r="C98" t="s">
        <v>37</v>
      </c>
      <c r="D98" t="s">
        <v>14</v>
      </c>
      <c r="E98">
        <v>2020</v>
      </c>
      <c r="F98" t="s">
        <v>25</v>
      </c>
      <c r="G98" t="s">
        <v>38</v>
      </c>
      <c r="H98">
        <v>3</v>
      </c>
      <c r="I98">
        <v>23321.2</v>
      </c>
      <c r="J98" t="s">
        <v>36</v>
      </c>
      <c r="K98" s="3"/>
      <c r="N98" s="6">
        <f>IF(Tabela5[[#This Row],[Dim_Cenario'[Nome Cenario']]]=Tabela5[[#Headers],[INIC Atual]],Tabela5[[#This Row],['[Valores_cenario']]],0)</f>
        <v>0</v>
      </c>
      <c r="O98" s="6">
        <f>IF(Tabela5[[#This Row],[Dim_Cenario'[Nome Cenario']]]=Tabela5[[#Headers],[Revisado]],Tabela5[[#This Row],['[Valores_cenario']]],0)</f>
        <v>23321.2</v>
      </c>
      <c r="P98" s="6">
        <f>IF(Tabela5[[#This Row],[Dim_Cenario'[Nome Cenario']]]=Tabela5[[#Headers],[Realizado]],Tabela5[[#This Row],['[Valores_cenario']]],0)</f>
        <v>0</v>
      </c>
    </row>
    <row r="99" hidden="1" spans="1:16">
      <c r="A99" t="s">
        <v>17</v>
      </c>
      <c r="B99" t="s">
        <v>18</v>
      </c>
      <c r="C99" t="s">
        <v>96</v>
      </c>
      <c r="D99" t="s">
        <v>20</v>
      </c>
      <c r="E99">
        <v>2022</v>
      </c>
      <c r="F99" t="s">
        <v>25</v>
      </c>
      <c r="G99" t="s">
        <v>35</v>
      </c>
      <c r="H99">
        <v>1</v>
      </c>
      <c r="I99">
        <v>27608.63</v>
      </c>
      <c r="J99" t="s">
        <v>23</v>
      </c>
      <c r="K99" s="3"/>
      <c r="N99" s="6">
        <f>IF(Tabela5[[#This Row],[Dim_Cenario'[Nome Cenario']]]=Tabela5[[#Headers],[INIC Atual]],Tabela5[[#This Row],['[Valores_cenario']]],0)</f>
        <v>27608.63</v>
      </c>
      <c r="O99" s="6">
        <f>IF(Tabela5[[#This Row],[Dim_Cenario'[Nome Cenario']]]=Tabela5[[#Headers],[Revisado]],Tabela5[[#This Row],['[Valores_cenario']]],0)</f>
        <v>0</v>
      </c>
      <c r="P99" s="6">
        <f>IF(Tabela5[[#This Row],[Dim_Cenario'[Nome Cenario']]]=Tabela5[[#Headers],[Realizado]],Tabela5[[#This Row],['[Valores_cenario']]],0)</f>
        <v>0</v>
      </c>
    </row>
    <row r="100" hidden="1" spans="1:16">
      <c r="A100" t="s">
        <v>17</v>
      </c>
      <c r="B100" t="s">
        <v>18</v>
      </c>
      <c r="C100" t="s">
        <v>96</v>
      </c>
      <c r="D100" t="s">
        <v>20</v>
      </c>
      <c r="E100">
        <v>2022</v>
      </c>
      <c r="F100" t="s">
        <v>25</v>
      </c>
      <c r="G100" t="s">
        <v>26</v>
      </c>
      <c r="H100">
        <v>2</v>
      </c>
      <c r="I100">
        <v>27608.63</v>
      </c>
      <c r="J100" t="s">
        <v>23</v>
      </c>
      <c r="K100" s="3"/>
      <c r="N100" s="6">
        <f>IF(Tabela5[[#This Row],[Dim_Cenario'[Nome Cenario']]]=Tabela5[[#Headers],[INIC Atual]],Tabela5[[#This Row],['[Valores_cenario']]],0)</f>
        <v>27608.63</v>
      </c>
      <c r="O100" s="6">
        <f>IF(Tabela5[[#This Row],[Dim_Cenario'[Nome Cenario']]]=Tabela5[[#Headers],[Revisado]],Tabela5[[#This Row],['[Valores_cenario']]],0)</f>
        <v>0</v>
      </c>
      <c r="P100" s="6">
        <f>IF(Tabela5[[#This Row],[Dim_Cenario'[Nome Cenario']]]=Tabela5[[#Headers],[Realizado]],Tabela5[[#This Row],['[Valores_cenario']]],0)</f>
        <v>0</v>
      </c>
    </row>
    <row r="101" hidden="1" spans="1:16">
      <c r="A101" t="s">
        <v>17</v>
      </c>
      <c r="B101" t="s">
        <v>18</v>
      </c>
      <c r="C101" t="s">
        <v>96</v>
      </c>
      <c r="D101" t="s">
        <v>20</v>
      </c>
      <c r="E101">
        <v>2022</v>
      </c>
      <c r="F101" t="s">
        <v>25</v>
      </c>
      <c r="G101" t="s">
        <v>38</v>
      </c>
      <c r="H101">
        <v>3</v>
      </c>
      <c r="I101">
        <v>27608.63</v>
      </c>
      <c r="J101" t="s">
        <v>23</v>
      </c>
      <c r="K101" s="3"/>
      <c r="N101" s="6">
        <f>IF(Tabela5[[#This Row],[Dim_Cenario'[Nome Cenario']]]=Tabela5[[#Headers],[INIC Atual]],Tabela5[[#This Row],['[Valores_cenario']]],0)</f>
        <v>27608.63</v>
      </c>
      <c r="O101" s="6">
        <f>IF(Tabela5[[#This Row],[Dim_Cenario'[Nome Cenario']]]=Tabela5[[#Headers],[Revisado]],Tabela5[[#This Row],['[Valores_cenario']]],0)</f>
        <v>0</v>
      </c>
      <c r="P101" s="6">
        <f>IF(Tabela5[[#This Row],[Dim_Cenario'[Nome Cenario']]]=Tabela5[[#Headers],[Realizado]],Tabela5[[#This Row],['[Valores_cenario']]],0)</f>
        <v>0</v>
      </c>
    </row>
    <row r="102" hidden="1" spans="1:16">
      <c r="A102" t="s">
        <v>17</v>
      </c>
      <c r="B102" t="s">
        <v>18</v>
      </c>
      <c r="C102" t="s">
        <v>96</v>
      </c>
      <c r="D102" t="s">
        <v>20</v>
      </c>
      <c r="E102">
        <v>2022</v>
      </c>
      <c r="F102" t="s">
        <v>27</v>
      </c>
      <c r="G102" t="s">
        <v>28</v>
      </c>
      <c r="H102">
        <v>4</v>
      </c>
      <c r="I102">
        <v>27608.63</v>
      </c>
      <c r="J102" t="s">
        <v>23</v>
      </c>
      <c r="K102" s="3"/>
      <c r="N102" s="6">
        <f>IF(Tabela5[[#This Row],[Dim_Cenario'[Nome Cenario']]]=Tabela5[[#Headers],[INIC Atual]],Tabela5[[#This Row],['[Valores_cenario']]],0)</f>
        <v>27608.63</v>
      </c>
      <c r="O102" s="6">
        <f>IF(Tabela5[[#This Row],[Dim_Cenario'[Nome Cenario']]]=Tabela5[[#Headers],[Revisado]],Tabela5[[#This Row],['[Valores_cenario']]],0)</f>
        <v>0</v>
      </c>
      <c r="P102" s="6">
        <f>IF(Tabela5[[#This Row],[Dim_Cenario'[Nome Cenario']]]=Tabela5[[#Headers],[Realizado]],Tabela5[[#This Row],['[Valores_cenario']]],0)</f>
        <v>0</v>
      </c>
    </row>
    <row r="103" hidden="1" spans="1:16">
      <c r="A103" t="s">
        <v>17</v>
      </c>
      <c r="B103" t="s">
        <v>18</v>
      </c>
      <c r="C103" t="s">
        <v>96</v>
      </c>
      <c r="D103" t="s">
        <v>20</v>
      </c>
      <c r="E103">
        <v>2022</v>
      </c>
      <c r="F103" t="s">
        <v>27</v>
      </c>
      <c r="G103" t="s">
        <v>39</v>
      </c>
      <c r="H103">
        <v>5</v>
      </c>
      <c r="I103">
        <v>27608.63</v>
      </c>
      <c r="J103" t="s">
        <v>23</v>
      </c>
      <c r="K103" s="3"/>
      <c r="N103" s="6">
        <f>IF(Tabela5[[#This Row],[Dim_Cenario'[Nome Cenario']]]=Tabela5[[#Headers],[INIC Atual]],Tabela5[[#This Row],['[Valores_cenario']]],0)</f>
        <v>27608.63</v>
      </c>
      <c r="O103" s="6">
        <f>IF(Tabela5[[#This Row],[Dim_Cenario'[Nome Cenario']]]=Tabela5[[#Headers],[Revisado]],Tabela5[[#This Row],['[Valores_cenario']]],0)</f>
        <v>0</v>
      </c>
      <c r="P103" s="6">
        <f>IF(Tabela5[[#This Row],[Dim_Cenario'[Nome Cenario']]]=Tabela5[[#Headers],[Realizado]],Tabela5[[#This Row],['[Valores_cenario']]],0)</f>
        <v>0</v>
      </c>
    </row>
    <row r="104" hidden="1" spans="1:16">
      <c r="A104" t="s">
        <v>17</v>
      </c>
      <c r="B104" t="s">
        <v>18</v>
      </c>
      <c r="C104" t="s">
        <v>96</v>
      </c>
      <c r="D104" t="s">
        <v>20</v>
      </c>
      <c r="E104">
        <v>2022</v>
      </c>
      <c r="F104" t="s">
        <v>27</v>
      </c>
      <c r="G104" t="s">
        <v>29</v>
      </c>
      <c r="H104">
        <v>6</v>
      </c>
      <c r="I104">
        <v>27608.63</v>
      </c>
      <c r="J104" t="s">
        <v>23</v>
      </c>
      <c r="K104" s="3"/>
      <c r="N104" s="6">
        <f>IF(Tabela5[[#This Row],[Dim_Cenario'[Nome Cenario']]]=Tabela5[[#Headers],[INIC Atual]],Tabela5[[#This Row],['[Valores_cenario']]],0)</f>
        <v>27608.63</v>
      </c>
      <c r="O104" s="6">
        <f>IF(Tabela5[[#This Row],[Dim_Cenario'[Nome Cenario']]]=Tabela5[[#Headers],[Revisado]],Tabela5[[#This Row],['[Valores_cenario']]],0)</f>
        <v>0</v>
      </c>
      <c r="P104" s="6">
        <f>IF(Tabela5[[#This Row],[Dim_Cenario'[Nome Cenario']]]=Tabela5[[#Headers],[Realizado]],Tabela5[[#This Row],['[Valores_cenario']]],0)</f>
        <v>0</v>
      </c>
    </row>
    <row r="105" hidden="1" spans="1:16">
      <c r="A105" t="s">
        <v>17</v>
      </c>
      <c r="B105" t="s">
        <v>18</v>
      </c>
      <c r="C105" t="s">
        <v>96</v>
      </c>
      <c r="D105" t="s">
        <v>20</v>
      </c>
      <c r="E105">
        <v>2022</v>
      </c>
      <c r="F105" t="s">
        <v>30</v>
      </c>
      <c r="G105" t="s">
        <v>40</v>
      </c>
      <c r="H105">
        <v>7</v>
      </c>
      <c r="I105">
        <v>27608.63</v>
      </c>
      <c r="J105" t="s">
        <v>23</v>
      </c>
      <c r="K105" s="3"/>
      <c r="N105" s="6">
        <f>IF(Tabela5[[#This Row],[Dim_Cenario'[Nome Cenario']]]=Tabela5[[#Headers],[INIC Atual]],Tabela5[[#This Row],['[Valores_cenario']]],0)</f>
        <v>27608.63</v>
      </c>
      <c r="O105" s="6">
        <f>IF(Tabela5[[#This Row],[Dim_Cenario'[Nome Cenario']]]=Tabela5[[#Headers],[Revisado]],Tabela5[[#This Row],['[Valores_cenario']]],0)</f>
        <v>0</v>
      </c>
      <c r="P105" s="6">
        <f>IF(Tabela5[[#This Row],[Dim_Cenario'[Nome Cenario']]]=Tabela5[[#Headers],[Realizado]],Tabela5[[#This Row],['[Valores_cenario']]],0)</f>
        <v>0</v>
      </c>
    </row>
    <row r="106" hidden="1" spans="1:16">
      <c r="A106" t="s">
        <v>17</v>
      </c>
      <c r="B106" t="s">
        <v>18</v>
      </c>
      <c r="C106" t="s">
        <v>96</v>
      </c>
      <c r="D106" t="s">
        <v>20</v>
      </c>
      <c r="E106">
        <v>2022</v>
      </c>
      <c r="F106" t="s">
        <v>30</v>
      </c>
      <c r="G106" t="s">
        <v>31</v>
      </c>
      <c r="H106">
        <v>8</v>
      </c>
      <c r="I106">
        <v>27608.63</v>
      </c>
      <c r="J106" t="s">
        <v>23</v>
      </c>
      <c r="K106" s="3"/>
      <c r="N106" s="6">
        <f>IF(Tabela5[[#This Row],[Dim_Cenario'[Nome Cenario']]]=Tabela5[[#Headers],[INIC Atual]],Tabela5[[#This Row],['[Valores_cenario']]],0)</f>
        <v>27608.63</v>
      </c>
      <c r="O106" s="6">
        <f>IF(Tabela5[[#This Row],[Dim_Cenario'[Nome Cenario']]]=Tabela5[[#Headers],[Revisado]],Tabela5[[#This Row],['[Valores_cenario']]],0)</f>
        <v>0</v>
      </c>
      <c r="P106" s="6">
        <f>IF(Tabela5[[#This Row],[Dim_Cenario'[Nome Cenario']]]=Tabela5[[#Headers],[Realizado]],Tabela5[[#This Row],['[Valores_cenario']]],0)</f>
        <v>0</v>
      </c>
    </row>
    <row r="107" hidden="1" spans="1:16">
      <c r="A107" t="s">
        <v>17</v>
      </c>
      <c r="B107" t="s">
        <v>18</v>
      </c>
      <c r="C107" t="s">
        <v>96</v>
      </c>
      <c r="D107" t="s">
        <v>20</v>
      </c>
      <c r="E107">
        <v>2024</v>
      </c>
      <c r="F107" t="s">
        <v>25</v>
      </c>
      <c r="G107" t="s">
        <v>35</v>
      </c>
      <c r="H107">
        <v>1</v>
      </c>
      <c r="I107">
        <v>30556.541</v>
      </c>
      <c r="J107" t="s">
        <v>23</v>
      </c>
      <c r="K107" s="3"/>
      <c r="N107" s="6">
        <f>IF(Tabela5[[#This Row],[Dim_Cenario'[Nome Cenario']]]=Tabela5[[#Headers],[INIC Atual]],Tabela5[[#This Row],['[Valores_cenario']]],0)</f>
        <v>30556.541</v>
      </c>
      <c r="O107" s="6">
        <f>IF(Tabela5[[#This Row],[Dim_Cenario'[Nome Cenario']]]=Tabela5[[#Headers],[Revisado]],Tabela5[[#This Row],['[Valores_cenario']]],0)</f>
        <v>0</v>
      </c>
      <c r="P107" s="6">
        <f>IF(Tabela5[[#This Row],[Dim_Cenario'[Nome Cenario']]]=Tabela5[[#Headers],[Realizado]],Tabela5[[#This Row],['[Valores_cenario']]],0)</f>
        <v>0</v>
      </c>
    </row>
    <row r="108" hidden="1" spans="1:16">
      <c r="A108" t="s">
        <v>17</v>
      </c>
      <c r="B108" t="s">
        <v>18</v>
      </c>
      <c r="C108" t="s">
        <v>96</v>
      </c>
      <c r="D108" t="s">
        <v>20</v>
      </c>
      <c r="E108">
        <v>2024</v>
      </c>
      <c r="F108" t="s">
        <v>25</v>
      </c>
      <c r="G108" t="s">
        <v>26</v>
      </c>
      <c r="H108">
        <v>2</v>
      </c>
      <c r="I108">
        <v>30556.541</v>
      </c>
      <c r="J108" t="s">
        <v>23</v>
      </c>
      <c r="K108" s="3"/>
      <c r="N108" s="6">
        <f>IF(Tabela5[[#This Row],[Dim_Cenario'[Nome Cenario']]]=Tabela5[[#Headers],[INIC Atual]],Tabela5[[#This Row],['[Valores_cenario']]],0)</f>
        <v>30556.541</v>
      </c>
      <c r="O108" s="6">
        <f>IF(Tabela5[[#This Row],[Dim_Cenario'[Nome Cenario']]]=Tabela5[[#Headers],[Revisado]],Tabela5[[#This Row],['[Valores_cenario']]],0)</f>
        <v>0</v>
      </c>
      <c r="P108" s="6">
        <f>IF(Tabela5[[#This Row],[Dim_Cenario'[Nome Cenario']]]=Tabela5[[#Headers],[Realizado]],Tabela5[[#This Row],['[Valores_cenario']]],0)</f>
        <v>0</v>
      </c>
    </row>
    <row r="109" hidden="1" spans="1:16">
      <c r="A109" t="s">
        <v>17</v>
      </c>
      <c r="B109" t="s">
        <v>18</v>
      </c>
      <c r="C109" t="s">
        <v>96</v>
      </c>
      <c r="D109" t="s">
        <v>20</v>
      </c>
      <c r="E109">
        <v>2024</v>
      </c>
      <c r="F109" t="s">
        <v>25</v>
      </c>
      <c r="G109" t="s">
        <v>38</v>
      </c>
      <c r="H109">
        <v>3</v>
      </c>
      <c r="I109">
        <v>30556.541</v>
      </c>
      <c r="J109" t="s">
        <v>23</v>
      </c>
      <c r="K109" s="3"/>
      <c r="N109" s="6">
        <f>IF(Tabela5[[#This Row],[Dim_Cenario'[Nome Cenario']]]=Tabela5[[#Headers],[INIC Atual]],Tabela5[[#This Row],['[Valores_cenario']]],0)</f>
        <v>30556.541</v>
      </c>
      <c r="O109" s="6">
        <f>IF(Tabela5[[#This Row],[Dim_Cenario'[Nome Cenario']]]=Tabela5[[#Headers],[Revisado]],Tabela5[[#This Row],['[Valores_cenario']]],0)</f>
        <v>0</v>
      </c>
      <c r="P109" s="6">
        <f>IF(Tabela5[[#This Row],[Dim_Cenario'[Nome Cenario']]]=Tabela5[[#Headers],[Realizado]],Tabela5[[#This Row],['[Valores_cenario']]],0)</f>
        <v>0</v>
      </c>
    </row>
    <row r="110" hidden="1" spans="1:16">
      <c r="A110" t="s">
        <v>17</v>
      </c>
      <c r="B110" t="s">
        <v>18</v>
      </c>
      <c r="C110" t="s">
        <v>96</v>
      </c>
      <c r="D110" t="s">
        <v>20</v>
      </c>
      <c r="E110">
        <v>2024</v>
      </c>
      <c r="F110" t="s">
        <v>27</v>
      </c>
      <c r="G110" t="s">
        <v>28</v>
      </c>
      <c r="H110">
        <v>4</v>
      </c>
      <c r="I110">
        <v>30556.541</v>
      </c>
      <c r="J110" t="s">
        <v>23</v>
      </c>
      <c r="K110" s="3"/>
      <c r="N110" s="6">
        <f>IF(Tabela5[[#This Row],[Dim_Cenario'[Nome Cenario']]]=Tabela5[[#Headers],[INIC Atual]],Tabela5[[#This Row],['[Valores_cenario']]],0)</f>
        <v>30556.541</v>
      </c>
      <c r="O110" s="6">
        <f>IF(Tabela5[[#This Row],[Dim_Cenario'[Nome Cenario']]]=Tabela5[[#Headers],[Revisado]],Tabela5[[#This Row],['[Valores_cenario']]],0)</f>
        <v>0</v>
      </c>
      <c r="P110" s="6">
        <f>IF(Tabela5[[#This Row],[Dim_Cenario'[Nome Cenario']]]=Tabela5[[#Headers],[Realizado]],Tabela5[[#This Row],['[Valores_cenario']]],0)</f>
        <v>0</v>
      </c>
    </row>
    <row r="111" hidden="1" spans="1:16">
      <c r="A111" t="s">
        <v>17</v>
      </c>
      <c r="B111" t="s">
        <v>18</v>
      </c>
      <c r="C111" t="s">
        <v>96</v>
      </c>
      <c r="D111" t="s">
        <v>20</v>
      </c>
      <c r="E111">
        <v>2024</v>
      </c>
      <c r="F111" t="s">
        <v>27</v>
      </c>
      <c r="G111" t="s">
        <v>39</v>
      </c>
      <c r="H111">
        <v>5</v>
      </c>
      <c r="I111">
        <v>30556.541</v>
      </c>
      <c r="J111" t="s">
        <v>23</v>
      </c>
      <c r="K111" s="3"/>
      <c r="N111" s="6">
        <f>IF(Tabela5[[#This Row],[Dim_Cenario'[Nome Cenario']]]=Tabela5[[#Headers],[INIC Atual]],Tabela5[[#This Row],['[Valores_cenario']]],0)</f>
        <v>30556.541</v>
      </c>
      <c r="O111" s="6">
        <f>IF(Tabela5[[#This Row],[Dim_Cenario'[Nome Cenario']]]=Tabela5[[#Headers],[Revisado]],Tabela5[[#This Row],['[Valores_cenario']]],0)</f>
        <v>0</v>
      </c>
      <c r="P111" s="6">
        <f>IF(Tabela5[[#This Row],[Dim_Cenario'[Nome Cenario']]]=Tabela5[[#Headers],[Realizado]],Tabela5[[#This Row],['[Valores_cenario']]],0)</f>
        <v>0</v>
      </c>
    </row>
    <row r="112" hidden="1" spans="1:16">
      <c r="A112" t="s">
        <v>17</v>
      </c>
      <c r="B112" t="s">
        <v>18</v>
      </c>
      <c r="C112" t="s">
        <v>96</v>
      </c>
      <c r="D112" t="s">
        <v>20</v>
      </c>
      <c r="E112">
        <v>2024</v>
      </c>
      <c r="F112" t="s">
        <v>27</v>
      </c>
      <c r="G112" t="s">
        <v>29</v>
      </c>
      <c r="H112">
        <v>6</v>
      </c>
      <c r="I112">
        <v>30556.541</v>
      </c>
      <c r="J112" t="s">
        <v>23</v>
      </c>
      <c r="K112" s="3"/>
      <c r="N112" s="6">
        <f>IF(Tabela5[[#This Row],[Dim_Cenario'[Nome Cenario']]]=Tabela5[[#Headers],[INIC Atual]],Tabela5[[#This Row],['[Valores_cenario']]],0)</f>
        <v>30556.541</v>
      </c>
      <c r="O112" s="6">
        <f>IF(Tabela5[[#This Row],[Dim_Cenario'[Nome Cenario']]]=Tabela5[[#Headers],[Revisado]],Tabela5[[#This Row],['[Valores_cenario']]],0)</f>
        <v>0</v>
      </c>
      <c r="P112" s="6">
        <f>IF(Tabela5[[#This Row],[Dim_Cenario'[Nome Cenario']]]=Tabela5[[#Headers],[Realizado]],Tabela5[[#This Row],['[Valores_cenario']]],0)</f>
        <v>0</v>
      </c>
    </row>
    <row r="113" hidden="1" spans="1:16">
      <c r="A113" t="s">
        <v>17</v>
      </c>
      <c r="B113" t="s">
        <v>18</v>
      </c>
      <c r="C113" t="s">
        <v>96</v>
      </c>
      <c r="D113" t="s">
        <v>20</v>
      </c>
      <c r="E113">
        <v>2024</v>
      </c>
      <c r="F113" t="s">
        <v>30</v>
      </c>
      <c r="G113" t="s">
        <v>40</v>
      </c>
      <c r="H113">
        <v>7</v>
      </c>
      <c r="I113">
        <v>30556.541</v>
      </c>
      <c r="J113" t="s">
        <v>23</v>
      </c>
      <c r="K113" s="3"/>
      <c r="N113" s="6">
        <f>IF(Tabela5[[#This Row],[Dim_Cenario'[Nome Cenario']]]=Tabela5[[#Headers],[INIC Atual]],Tabela5[[#This Row],['[Valores_cenario']]],0)</f>
        <v>30556.541</v>
      </c>
      <c r="O113" s="6">
        <f>IF(Tabela5[[#This Row],[Dim_Cenario'[Nome Cenario']]]=Tabela5[[#Headers],[Revisado]],Tabela5[[#This Row],['[Valores_cenario']]],0)</f>
        <v>0</v>
      </c>
      <c r="P113" s="6">
        <f>IF(Tabela5[[#This Row],[Dim_Cenario'[Nome Cenario']]]=Tabela5[[#Headers],[Realizado]],Tabela5[[#This Row],['[Valores_cenario']]],0)</f>
        <v>0</v>
      </c>
    </row>
    <row r="114" hidden="1" spans="1:16">
      <c r="A114" t="s">
        <v>17</v>
      </c>
      <c r="B114" t="s">
        <v>18</v>
      </c>
      <c r="C114" t="s">
        <v>96</v>
      </c>
      <c r="D114" t="s">
        <v>20</v>
      </c>
      <c r="E114">
        <v>2024</v>
      </c>
      <c r="F114" t="s">
        <v>30</v>
      </c>
      <c r="G114" t="s">
        <v>31</v>
      </c>
      <c r="H114">
        <v>8</v>
      </c>
      <c r="I114">
        <v>30556.541</v>
      </c>
      <c r="J114" t="s">
        <v>23</v>
      </c>
      <c r="K114" s="3"/>
      <c r="N114" s="6">
        <f>IF(Tabela5[[#This Row],[Dim_Cenario'[Nome Cenario']]]=Tabela5[[#Headers],[INIC Atual]],Tabela5[[#This Row],['[Valores_cenario']]],0)</f>
        <v>30556.541</v>
      </c>
      <c r="O114" s="6">
        <f>IF(Tabela5[[#This Row],[Dim_Cenario'[Nome Cenario']]]=Tabela5[[#Headers],[Revisado]],Tabela5[[#This Row],['[Valores_cenario']]],0)</f>
        <v>0</v>
      </c>
      <c r="P114" s="6">
        <f>IF(Tabela5[[#This Row],[Dim_Cenario'[Nome Cenario']]]=Tabela5[[#Headers],[Realizado]],Tabela5[[#This Row],['[Valores_cenario']]],0)</f>
        <v>0</v>
      </c>
    </row>
    <row r="115" hidden="1" spans="1:16">
      <c r="A115" t="s">
        <v>17</v>
      </c>
      <c r="B115" t="s">
        <v>18</v>
      </c>
      <c r="C115" t="s">
        <v>96</v>
      </c>
      <c r="D115" t="s">
        <v>20</v>
      </c>
      <c r="E115">
        <v>2025</v>
      </c>
      <c r="F115" t="s">
        <v>27</v>
      </c>
      <c r="G115" t="s">
        <v>39</v>
      </c>
      <c r="H115">
        <v>5</v>
      </c>
      <c r="I115">
        <v>387732.96</v>
      </c>
      <c r="J115" t="s">
        <v>33</v>
      </c>
      <c r="K115" s="3"/>
      <c r="N115" s="6">
        <f>IF(Tabela5[[#This Row],[Dim_Cenario'[Nome Cenario']]]=Tabela5[[#Headers],[INIC Atual]],Tabela5[[#This Row],['[Valores_cenario']]],0)</f>
        <v>387732.96</v>
      </c>
      <c r="O115" s="6">
        <f>IF(Tabela5[[#This Row],[Dim_Cenario'[Nome Cenario']]]=Tabela5[[#Headers],[Revisado]],Tabela5[[#This Row],['[Valores_cenario']]],0)</f>
        <v>0</v>
      </c>
      <c r="P115" s="6">
        <f>IF(Tabela5[[#This Row],[Dim_Cenario'[Nome Cenario']]]=Tabela5[[#Headers],[Realizado]],Tabela5[[#This Row],['[Valores_cenario']]],0)</f>
        <v>0</v>
      </c>
    </row>
    <row r="116" hidden="1" spans="1:16">
      <c r="A116" t="s">
        <v>17</v>
      </c>
      <c r="B116" t="s">
        <v>18</v>
      </c>
      <c r="C116" t="s">
        <v>96</v>
      </c>
      <c r="D116" t="s">
        <v>20</v>
      </c>
      <c r="E116">
        <v>2025</v>
      </c>
      <c r="F116" t="s">
        <v>21</v>
      </c>
      <c r="G116" t="s">
        <v>32</v>
      </c>
      <c r="H116">
        <v>12</v>
      </c>
      <c r="I116">
        <v>150641.24</v>
      </c>
      <c r="J116" t="s">
        <v>33</v>
      </c>
      <c r="K116" s="3"/>
      <c r="N116" s="6">
        <f>IF(Tabela5[[#This Row],[Dim_Cenario'[Nome Cenario']]]=Tabela5[[#Headers],[INIC Atual]],Tabela5[[#This Row],['[Valores_cenario']]],0)</f>
        <v>150641.24</v>
      </c>
      <c r="O116" s="6">
        <f>IF(Tabela5[[#This Row],[Dim_Cenario'[Nome Cenario']]]=Tabela5[[#Headers],[Revisado]],Tabela5[[#This Row],['[Valores_cenario']]],0)</f>
        <v>0</v>
      </c>
      <c r="P116" s="6">
        <f>IF(Tabela5[[#This Row],[Dim_Cenario'[Nome Cenario']]]=Tabela5[[#Headers],[Realizado]],Tabela5[[#This Row],['[Valores_cenario']]],0)</f>
        <v>0</v>
      </c>
    </row>
    <row r="117" hidden="1" spans="1:16">
      <c r="A117" t="s">
        <v>17</v>
      </c>
      <c r="B117" t="s">
        <v>18</v>
      </c>
      <c r="C117" t="s">
        <v>96</v>
      </c>
      <c r="D117" t="s">
        <v>20</v>
      </c>
      <c r="E117">
        <v>2026</v>
      </c>
      <c r="F117" t="s">
        <v>27</v>
      </c>
      <c r="G117" t="s">
        <v>39</v>
      </c>
      <c r="H117">
        <v>5</v>
      </c>
      <c r="I117">
        <v>366485.44</v>
      </c>
      <c r="J117" t="s">
        <v>33</v>
      </c>
      <c r="K117" s="3"/>
      <c r="N117" s="6">
        <f>IF(Tabela5[[#This Row],[Dim_Cenario'[Nome Cenario']]]=Tabela5[[#Headers],[INIC Atual]],Tabela5[[#This Row],['[Valores_cenario']]],0)</f>
        <v>366485.44</v>
      </c>
      <c r="O117" s="6">
        <f>IF(Tabela5[[#This Row],[Dim_Cenario'[Nome Cenario']]]=Tabela5[[#Headers],[Revisado]],Tabela5[[#This Row],['[Valores_cenario']]],0)</f>
        <v>0</v>
      </c>
      <c r="P117" s="6">
        <f>IF(Tabela5[[#This Row],[Dim_Cenario'[Nome Cenario']]]=Tabela5[[#Headers],[Realizado]],Tabela5[[#This Row],['[Valores_cenario']]],0)</f>
        <v>0</v>
      </c>
    </row>
    <row r="118" hidden="1" spans="1:16">
      <c r="A118" t="s">
        <v>17</v>
      </c>
      <c r="B118" t="s">
        <v>18</v>
      </c>
      <c r="C118" t="s">
        <v>96</v>
      </c>
      <c r="D118" t="s">
        <v>20</v>
      </c>
      <c r="E118">
        <v>2026</v>
      </c>
      <c r="F118" t="s">
        <v>21</v>
      </c>
      <c r="G118" t="s">
        <v>32</v>
      </c>
      <c r="H118">
        <v>12</v>
      </c>
      <c r="I118">
        <v>173257.48</v>
      </c>
      <c r="J118" t="s">
        <v>33</v>
      </c>
      <c r="K118" s="3"/>
      <c r="N118" s="6">
        <f>IF(Tabela5[[#This Row],[Dim_Cenario'[Nome Cenario']]]=Tabela5[[#Headers],[INIC Atual]],Tabela5[[#This Row],['[Valores_cenario']]],0)</f>
        <v>173257.48</v>
      </c>
      <c r="O118" s="6">
        <f>IF(Tabela5[[#This Row],[Dim_Cenario'[Nome Cenario']]]=Tabela5[[#Headers],[Revisado]],Tabela5[[#This Row],['[Valores_cenario']]],0)</f>
        <v>0</v>
      </c>
      <c r="P118" s="6">
        <f>IF(Tabela5[[#This Row],[Dim_Cenario'[Nome Cenario']]]=Tabela5[[#Headers],[Realizado]],Tabela5[[#This Row],['[Valores_cenario']]],0)</f>
        <v>0</v>
      </c>
    </row>
    <row r="119" hidden="1" spans="1:16">
      <c r="A119" t="s">
        <v>17</v>
      </c>
      <c r="B119" t="s">
        <v>18</v>
      </c>
      <c r="C119" t="s">
        <v>96</v>
      </c>
      <c r="D119" t="s">
        <v>20</v>
      </c>
      <c r="E119">
        <v>2027</v>
      </c>
      <c r="F119" t="s">
        <v>27</v>
      </c>
      <c r="G119" t="s">
        <v>39</v>
      </c>
      <c r="H119">
        <v>5</v>
      </c>
      <c r="I119">
        <v>404267.44</v>
      </c>
      <c r="J119" t="s">
        <v>33</v>
      </c>
      <c r="K119" s="3"/>
      <c r="N119" s="6">
        <f>IF(Tabela5[[#This Row],[Dim_Cenario'[Nome Cenario']]]=Tabela5[[#Headers],[INIC Atual]],Tabela5[[#This Row],['[Valores_cenario']]],0)</f>
        <v>404267.44</v>
      </c>
      <c r="O119" s="6">
        <f>IF(Tabela5[[#This Row],[Dim_Cenario'[Nome Cenario']]]=Tabela5[[#Headers],[Revisado]],Tabela5[[#This Row],['[Valores_cenario']]],0)</f>
        <v>0</v>
      </c>
      <c r="P119" s="6">
        <f>IF(Tabela5[[#This Row],[Dim_Cenario'[Nome Cenario']]]=Tabela5[[#Headers],[Realizado]],Tabela5[[#This Row],['[Valores_cenario']]],0)</f>
        <v>0</v>
      </c>
    </row>
    <row r="120" hidden="1" spans="1:16">
      <c r="A120" t="s">
        <v>17</v>
      </c>
      <c r="B120" t="s">
        <v>18</v>
      </c>
      <c r="C120" t="s">
        <v>96</v>
      </c>
      <c r="D120" t="s">
        <v>20</v>
      </c>
      <c r="E120">
        <v>2027</v>
      </c>
      <c r="F120" t="s">
        <v>21</v>
      </c>
      <c r="G120" t="s">
        <v>32</v>
      </c>
      <c r="H120">
        <v>12</v>
      </c>
      <c r="I120">
        <v>157065.19</v>
      </c>
      <c r="J120" t="s">
        <v>33</v>
      </c>
      <c r="K120" s="3"/>
      <c r="N120" s="6">
        <f>IF(Tabela5[[#This Row],[Dim_Cenario'[Nome Cenario']]]=Tabela5[[#Headers],[INIC Atual]],Tabela5[[#This Row],['[Valores_cenario']]],0)</f>
        <v>157065.19</v>
      </c>
      <c r="O120" s="6">
        <f>IF(Tabela5[[#This Row],[Dim_Cenario'[Nome Cenario']]]=Tabela5[[#Headers],[Revisado]],Tabela5[[#This Row],['[Valores_cenario']]],0)</f>
        <v>0</v>
      </c>
      <c r="P120" s="6">
        <f>IF(Tabela5[[#This Row],[Dim_Cenario'[Nome Cenario']]]=Tabela5[[#Headers],[Realizado]],Tabela5[[#This Row],['[Valores_cenario']]],0)</f>
        <v>0</v>
      </c>
    </row>
    <row r="121" hidden="1" spans="1:16">
      <c r="A121" t="s">
        <v>97</v>
      </c>
      <c r="B121" t="s">
        <v>18</v>
      </c>
      <c r="C121" t="s">
        <v>98</v>
      </c>
      <c r="D121" t="s">
        <v>20</v>
      </c>
      <c r="E121">
        <v>2022</v>
      </c>
      <c r="F121" t="s">
        <v>25</v>
      </c>
      <c r="G121" t="s">
        <v>35</v>
      </c>
      <c r="H121">
        <v>1</v>
      </c>
      <c r="I121">
        <v>10000</v>
      </c>
      <c r="J121" t="s">
        <v>23</v>
      </c>
      <c r="K121" s="3"/>
      <c r="N121" s="6">
        <f>IF(Tabela5[[#This Row],[Dim_Cenario'[Nome Cenario']]]=Tabela5[[#Headers],[INIC Atual]],Tabela5[[#This Row],['[Valores_cenario']]],0)</f>
        <v>10000</v>
      </c>
      <c r="O121" s="6">
        <f>IF(Tabela5[[#This Row],[Dim_Cenario'[Nome Cenario']]]=Tabela5[[#Headers],[Revisado]],Tabela5[[#This Row],['[Valores_cenario']]],0)</f>
        <v>0</v>
      </c>
      <c r="P121" s="6">
        <f>IF(Tabela5[[#This Row],[Dim_Cenario'[Nome Cenario']]]=Tabela5[[#Headers],[Realizado]],Tabela5[[#This Row],['[Valores_cenario']]],0)</f>
        <v>0</v>
      </c>
    </row>
    <row r="122" hidden="1" spans="1:16">
      <c r="A122" t="s">
        <v>97</v>
      </c>
      <c r="B122" t="s">
        <v>18</v>
      </c>
      <c r="C122" t="s">
        <v>98</v>
      </c>
      <c r="D122" t="s">
        <v>20</v>
      </c>
      <c r="E122">
        <v>2022</v>
      </c>
      <c r="F122" t="s">
        <v>25</v>
      </c>
      <c r="G122" t="s">
        <v>26</v>
      </c>
      <c r="H122">
        <v>2</v>
      </c>
      <c r="I122">
        <v>15000</v>
      </c>
      <c r="J122" t="s">
        <v>23</v>
      </c>
      <c r="K122" s="3"/>
      <c r="N122" s="6">
        <f>IF(Tabela5[[#This Row],[Dim_Cenario'[Nome Cenario']]]=Tabela5[[#Headers],[INIC Atual]],Tabela5[[#This Row],['[Valores_cenario']]],0)</f>
        <v>15000</v>
      </c>
      <c r="O122" s="6">
        <f>IF(Tabela5[[#This Row],[Dim_Cenario'[Nome Cenario']]]=Tabela5[[#Headers],[Revisado]],Tabela5[[#This Row],['[Valores_cenario']]],0)</f>
        <v>0</v>
      </c>
      <c r="P122" s="6">
        <f>IF(Tabela5[[#This Row],[Dim_Cenario'[Nome Cenario']]]=Tabela5[[#Headers],[Realizado]],Tabela5[[#This Row],['[Valores_cenario']]],0)</f>
        <v>0</v>
      </c>
    </row>
    <row r="123" hidden="1" spans="1:16">
      <c r="A123" t="s">
        <v>97</v>
      </c>
      <c r="B123" t="s">
        <v>18</v>
      </c>
      <c r="C123" t="s">
        <v>98</v>
      </c>
      <c r="D123" t="s">
        <v>20</v>
      </c>
      <c r="E123">
        <v>2022</v>
      </c>
      <c r="F123" t="s">
        <v>25</v>
      </c>
      <c r="G123" t="s">
        <v>38</v>
      </c>
      <c r="H123">
        <v>3</v>
      </c>
      <c r="I123">
        <v>29000</v>
      </c>
      <c r="J123" t="s">
        <v>23</v>
      </c>
      <c r="K123" s="3"/>
      <c r="N123" s="6">
        <f>IF(Tabela5[[#This Row],[Dim_Cenario'[Nome Cenario']]]=Tabela5[[#Headers],[INIC Atual]],Tabela5[[#This Row],['[Valores_cenario']]],0)</f>
        <v>29000</v>
      </c>
      <c r="O123" s="6">
        <f>IF(Tabela5[[#This Row],[Dim_Cenario'[Nome Cenario']]]=Tabela5[[#Headers],[Revisado]],Tabela5[[#This Row],['[Valores_cenario']]],0)</f>
        <v>0</v>
      </c>
      <c r="P123" s="6">
        <f>IF(Tabela5[[#This Row],[Dim_Cenario'[Nome Cenario']]]=Tabela5[[#Headers],[Realizado]],Tabela5[[#This Row],['[Valores_cenario']]],0)</f>
        <v>0</v>
      </c>
    </row>
    <row r="124" hidden="1" spans="1:16">
      <c r="A124" t="s">
        <v>97</v>
      </c>
      <c r="B124" t="s">
        <v>18</v>
      </c>
      <c r="C124" t="s">
        <v>98</v>
      </c>
      <c r="D124" t="s">
        <v>20</v>
      </c>
      <c r="E124">
        <v>2022</v>
      </c>
      <c r="F124" t="s">
        <v>27</v>
      </c>
      <c r="G124" t="s">
        <v>28</v>
      </c>
      <c r="H124">
        <v>4</v>
      </c>
      <c r="I124">
        <v>10000</v>
      </c>
      <c r="J124" t="s">
        <v>23</v>
      </c>
      <c r="K124" s="3"/>
      <c r="N124" s="6">
        <f>IF(Tabela5[[#This Row],[Dim_Cenario'[Nome Cenario']]]=Tabela5[[#Headers],[INIC Atual]],Tabela5[[#This Row],['[Valores_cenario']]],0)</f>
        <v>10000</v>
      </c>
      <c r="O124" s="6">
        <f>IF(Tabela5[[#This Row],[Dim_Cenario'[Nome Cenario']]]=Tabela5[[#Headers],[Revisado]],Tabela5[[#This Row],['[Valores_cenario']]],0)</f>
        <v>0</v>
      </c>
      <c r="P124" s="6">
        <f>IF(Tabela5[[#This Row],[Dim_Cenario'[Nome Cenario']]]=Tabela5[[#Headers],[Realizado]],Tabela5[[#This Row],['[Valores_cenario']]],0)</f>
        <v>0</v>
      </c>
    </row>
    <row r="125" hidden="1" spans="1:16">
      <c r="A125" t="s">
        <v>97</v>
      </c>
      <c r="B125" t="s">
        <v>18</v>
      </c>
      <c r="C125" t="s">
        <v>98</v>
      </c>
      <c r="D125" t="s">
        <v>20</v>
      </c>
      <c r="E125">
        <v>2022</v>
      </c>
      <c r="F125" t="s">
        <v>27</v>
      </c>
      <c r="G125" t="s">
        <v>39</v>
      </c>
      <c r="H125">
        <v>5</v>
      </c>
      <c r="I125">
        <v>15000</v>
      </c>
      <c r="J125" t="s">
        <v>23</v>
      </c>
      <c r="K125" s="3"/>
      <c r="N125" s="6">
        <f>IF(Tabela5[[#This Row],[Dim_Cenario'[Nome Cenario']]]=Tabela5[[#Headers],[INIC Atual]],Tabela5[[#This Row],['[Valores_cenario']]],0)</f>
        <v>15000</v>
      </c>
      <c r="O125" s="6">
        <f>IF(Tabela5[[#This Row],[Dim_Cenario'[Nome Cenario']]]=Tabela5[[#Headers],[Revisado]],Tabela5[[#This Row],['[Valores_cenario']]],0)</f>
        <v>0</v>
      </c>
      <c r="P125" s="6">
        <f>IF(Tabela5[[#This Row],[Dim_Cenario'[Nome Cenario']]]=Tabela5[[#Headers],[Realizado]],Tabela5[[#This Row],['[Valores_cenario']]],0)</f>
        <v>0</v>
      </c>
    </row>
    <row r="126" hidden="1" spans="1:16">
      <c r="A126" t="s">
        <v>97</v>
      </c>
      <c r="B126" t="s">
        <v>18</v>
      </c>
      <c r="C126" t="s">
        <v>98</v>
      </c>
      <c r="D126" t="s">
        <v>20</v>
      </c>
      <c r="E126">
        <v>2022</v>
      </c>
      <c r="F126" t="s">
        <v>27</v>
      </c>
      <c r="G126" t="s">
        <v>29</v>
      </c>
      <c r="H126">
        <v>6</v>
      </c>
      <c r="I126">
        <v>29000</v>
      </c>
      <c r="J126" t="s">
        <v>23</v>
      </c>
      <c r="K126" s="3"/>
      <c r="N126" s="6">
        <f>IF(Tabela5[[#This Row],[Dim_Cenario'[Nome Cenario']]]=Tabela5[[#Headers],[INIC Atual]],Tabela5[[#This Row],['[Valores_cenario']]],0)</f>
        <v>29000</v>
      </c>
      <c r="O126" s="6">
        <f>IF(Tabela5[[#This Row],[Dim_Cenario'[Nome Cenario']]]=Tabela5[[#Headers],[Revisado]],Tabela5[[#This Row],['[Valores_cenario']]],0)</f>
        <v>0</v>
      </c>
      <c r="P126" s="6">
        <f>IF(Tabela5[[#This Row],[Dim_Cenario'[Nome Cenario']]]=Tabela5[[#Headers],[Realizado]],Tabela5[[#This Row],['[Valores_cenario']]],0)</f>
        <v>0</v>
      </c>
    </row>
    <row r="127" hidden="1" spans="1:16">
      <c r="A127" t="s">
        <v>97</v>
      </c>
      <c r="B127" t="s">
        <v>18</v>
      </c>
      <c r="C127" t="s">
        <v>98</v>
      </c>
      <c r="D127" t="s">
        <v>20</v>
      </c>
      <c r="E127">
        <v>2022</v>
      </c>
      <c r="F127" t="s">
        <v>30</v>
      </c>
      <c r="G127" t="s">
        <v>40</v>
      </c>
      <c r="H127">
        <v>7</v>
      </c>
      <c r="I127">
        <v>10000</v>
      </c>
      <c r="J127" t="s">
        <v>23</v>
      </c>
      <c r="K127" s="3"/>
      <c r="N127" s="6">
        <f>IF(Tabela5[[#This Row],[Dim_Cenario'[Nome Cenario']]]=Tabela5[[#Headers],[INIC Atual]],Tabela5[[#This Row],['[Valores_cenario']]],0)</f>
        <v>10000</v>
      </c>
      <c r="O127" s="6">
        <f>IF(Tabela5[[#This Row],[Dim_Cenario'[Nome Cenario']]]=Tabela5[[#Headers],[Revisado]],Tabela5[[#This Row],['[Valores_cenario']]],0)</f>
        <v>0</v>
      </c>
      <c r="P127" s="6">
        <f>IF(Tabela5[[#This Row],[Dim_Cenario'[Nome Cenario']]]=Tabela5[[#Headers],[Realizado]],Tabela5[[#This Row],['[Valores_cenario']]],0)</f>
        <v>0</v>
      </c>
    </row>
    <row r="128" hidden="1" spans="1:16">
      <c r="A128" t="s">
        <v>97</v>
      </c>
      <c r="B128" t="s">
        <v>18</v>
      </c>
      <c r="C128" t="s">
        <v>98</v>
      </c>
      <c r="D128" t="s">
        <v>20</v>
      </c>
      <c r="E128">
        <v>2022</v>
      </c>
      <c r="F128" t="s">
        <v>30</v>
      </c>
      <c r="G128" t="s">
        <v>31</v>
      </c>
      <c r="H128">
        <v>8</v>
      </c>
      <c r="I128">
        <v>15000</v>
      </c>
      <c r="J128" t="s">
        <v>23</v>
      </c>
      <c r="K128" s="3"/>
      <c r="N128" s="6">
        <f>IF(Tabela5[[#This Row],[Dim_Cenario'[Nome Cenario']]]=Tabela5[[#Headers],[INIC Atual]],Tabela5[[#This Row],['[Valores_cenario']]],0)</f>
        <v>15000</v>
      </c>
      <c r="O128" s="6">
        <f>IF(Tabela5[[#This Row],[Dim_Cenario'[Nome Cenario']]]=Tabela5[[#Headers],[Revisado]],Tabela5[[#This Row],['[Valores_cenario']]],0)</f>
        <v>0</v>
      </c>
      <c r="P128" s="6">
        <f>IF(Tabela5[[#This Row],[Dim_Cenario'[Nome Cenario']]]=Tabela5[[#Headers],[Realizado]],Tabela5[[#This Row],['[Valores_cenario']]],0)</f>
        <v>0</v>
      </c>
    </row>
    <row r="129" hidden="1" spans="1:16">
      <c r="A129" t="s">
        <v>97</v>
      </c>
      <c r="B129" t="s">
        <v>18</v>
      </c>
      <c r="C129" t="s">
        <v>98</v>
      </c>
      <c r="D129" t="s">
        <v>20</v>
      </c>
      <c r="E129">
        <v>2022</v>
      </c>
      <c r="F129" t="s">
        <v>30</v>
      </c>
      <c r="G129" t="s">
        <v>41</v>
      </c>
      <c r="H129">
        <v>9</v>
      </c>
      <c r="I129">
        <v>29000</v>
      </c>
      <c r="J129" t="s">
        <v>23</v>
      </c>
      <c r="K129" s="3"/>
      <c r="N129" s="6">
        <f>IF(Tabela5[[#This Row],[Dim_Cenario'[Nome Cenario']]]=Tabela5[[#Headers],[INIC Atual]],Tabela5[[#This Row],['[Valores_cenario']]],0)</f>
        <v>29000</v>
      </c>
      <c r="O129" s="6">
        <f>IF(Tabela5[[#This Row],[Dim_Cenario'[Nome Cenario']]]=Tabela5[[#Headers],[Revisado]],Tabela5[[#This Row],['[Valores_cenario']]],0)</f>
        <v>0</v>
      </c>
      <c r="P129" s="6">
        <f>IF(Tabela5[[#This Row],[Dim_Cenario'[Nome Cenario']]]=Tabela5[[#Headers],[Realizado]],Tabela5[[#This Row],['[Valores_cenario']]],0)</f>
        <v>0</v>
      </c>
    </row>
    <row r="130" hidden="1" spans="1:16">
      <c r="A130" t="s">
        <v>97</v>
      </c>
      <c r="B130" t="s">
        <v>18</v>
      </c>
      <c r="C130" t="s">
        <v>98</v>
      </c>
      <c r="D130" t="s">
        <v>20</v>
      </c>
      <c r="E130">
        <v>2022</v>
      </c>
      <c r="F130" t="s">
        <v>21</v>
      </c>
      <c r="G130" t="s">
        <v>22</v>
      </c>
      <c r="H130">
        <v>10</v>
      </c>
      <c r="I130">
        <v>10000</v>
      </c>
      <c r="J130" t="s">
        <v>23</v>
      </c>
      <c r="K130" s="3"/>
      <c r="N130" s="6">
        <f>IF(Tabela5[[#This Row],[Dim_Cenario'[Nome Cenario']]]=Tabela5[[#Headers],[INIC Atual]],Tabela5[[#This Row],['[Valores_cenario']]],0)</f>
        <v>10000</v>
      </c>
      <c r="O130" s="6">
        <f>IF(Tabela5[[#This Row],[Dim_Cenario'[Nome Cenario']]]=Tabela5[[#Headers],[Revisado]],Tabela5[[#This Row],['[Valores_cenario']]],0)</f>
        <v>0</v>
      </c>
      <c r="P130" s="6">
        <f>IF(Tabela5[[#This Row],[Dim_Cenario'[Nome Cenario']]]=Tabela5[[#Headers],[Realizado]],Tabela5[[#This Row],['[Valores_cenario']]],0)</f>
        <v>0</v>
      </c>
    </row>
    <row r="131" hidden="1" spans="1:16">
      <c r="A131" t="s">
        <v>97</v>
      </c>
      <c r="B131" t="s">
        <v>18</v>
      </c>
      <c r="C131" t="s">
        <v>98</v>
      </c>
      <c r="D131" t="s">
        <v>20</v>
      </c>
      <c r="E131">
        <v>2022</v>
      </c>
      <c r="F131" t="s">
        <v>21</v>
      </c>
      <c r="G131" t="s">
        <v>24</v>
      </c>
      <c r="H131">
        <v>11</v>
      </c>
      <c r="I131">
        <v>15000</v>
      </c>
      <c r="J131" t="s">
        <v>23</v>
      </c>
      <c r="K131" s="3"/>
      <c r="N131" s="6">
        <f>IF(Tabela5[[#This Row],[Dim_Cenario'[Nome Cenario']]]=Tabela5[[#Headers],[INIC Atual]],Tabela5[[#This Row],['[Valores_cenario']]],0)</f>
        <v>15000</v>
      </c>
      <c r="O131" s="6">
        <f>IF(Tabela5[[#This Row],[Dim_Cenario'[Nome Cenario']]]=Tabela5[[#Headers],[Revisado]],Tabela5[[#This Row],['[Valores_cenario']]],0)</f>
        <v>0</v>
      </c>
      <c r="P131" s="6">
        <f>IF(Tabela5[[#This Row],[Dim_Cenario'[Nome Cenario']]]=Tabela5[[#Headers],[Realizado]],Tabela5[[#This Row],['[Valores_cenario']]],0)</f>
        <v>0</v>
      </c>
    </row>
    <row r="132" hidden="1" spans="1:16">
      <c r="A132" t="s">
        <v>97</v>
      </c>
      <c r="B132" t="s">
        <v>18</v>
      </c>
      <c r="C132" t="s">
        <v>98</v>
      </c>
      <c r="D132" t="s">
        <v>20</v>
      </c>
      <c r="E132">
        <v>2022</v>
      </c>
      <c r="F132" t="s">
        <v>21</v>
      </c>
      <c r="G132" t="s">
        <v>32</v>
      </c>
      <c r="H132">
        <v>12</v>
      </c>
      <c r="I132">
        <v>29000</v>
      </c>
      <c r="J132" t="s">
        <v>23</v>
      </c>
      <c r="K132" s="3"/>
      <c r="N132" s="6">
        <f>IF(Tabela5[[#This Row],[Dim_Cenario'[Nome Cenario']]]=Tabela5[[#Headers],[INIC Atual]],Tabela5[[#This Row],['[Valores_cenario']]],0)</f>
        <v>29000</v>
      </c>
      <c r="O132" s="6">
        <f>IF(Tabela5[[#This Row],[Dim_Cenario'[Nome Cenario']]]=Tabela5[[#Headers],[Revisado]],Tabela5[[#This Row],['[Valores_cenario']]],0)</f>
        <v>0</v>
      </c>
      <c r="P132" s="6">
        <f>IF(Tabela5[[#This Row],[Dim_Cenario'[Nome Cenario']]]=Tabela5[[#Headers],[Realizado]],Tabela5[[#This Row],['[Valores_cenario']]],0)</f>
        <v>0</v>
      </c>
    </row>
    <row r="133" hidden="1" spans="1:16">
      <c r="A133" t="s">
        <v>97</v>
      </c>
      <c r="B133" t="s">
        <v>18</v>
      </c>
      <c r="C133" t="s">
        <v>98</v>
      </c>
      <c r="D133" t="s">
        <v>20</v>
      </c>
      <c r="E133">
        <v>2023</v>
      </c>
      <c r="F133" t="s">
        <v>25</v>
      </c>
      <c r="G133" t="s">
        <v>35</v>
      </c>
      <c r="H133">
        <v>1</v>
      </c>
      <c r="I133">
        <v>10579</v>
      </c>
      <c r="J133" t="s">
        <v>23</v>
      </c>
      <c r="K133" s="3"/>
      <c r="N133" s="6">
        <f>IF(Tabela5[[#This Row],[Dim_Cenario'[Nome Cenario']]]=Tabela5[[#Headers],[INIC Atual]],Tabela5[[#This Row],['[Valores_cenario']]],0)</f>
        <v>10579</v>
      </c>
      <c r="O133" s="6">
        <f>IF(Tabela5[[#This Row],[Dim_Cenario'[Nome Cenario']]]=Tabela5[[#Headers],[Revisado]],Tabela5[[#This Row],['[Valores_cenario']]],0)</f>
        <v>0</v>
      </c>
      <c r="P133" s="6">
        <f>IF(Tabela5[[#This Row],[Dim_Cenario'[Nome Cenario']]]=Tabela5[[#Headers],[Realizado]],Tabela5[[#This Row],['[Valores_cenario']]],0)</f>
        <v>0</v>
      </c>
    </row>
    <row r="134" hidden="1" spans="1:16">
      <c r="A134" t="s">
        <v>97</v>
      </c>
      <c r="B134" t="s">
        <v>18</v>
      </c>
      <c r="C134" t="s">
        <v>98</v>
      </c>
      <c r="D134" t="s">
        <v>20</v>
      </c>
      <c r="E134">
        <v>2023</v>
      </c>
      <c r="F134" t="s">
        <v>25</v>
      </c>
      <c r="G134" t="s">
        <v>26</v>
      </c>
      <c r="H134">
        <v>2</v>
      </c>
      <c r="I134">
        <v>15868.5</v>
      </c>
      <c r="J134" t="s">
        <v>23</v>
      </c>
      <c r="K134" s="3"/>
      <c r="N134" s="6">
        <f>IF(Tabela5[[#This Row],[Dim_Cenario'[Nome Cenario']]]=Tabela5[[#Headers],[INIC Atual]],Tabela5[[#This Row],['[Valores_cenario']]],0)</f>
        <v>15868.5</v>
      </c>
      <c r="O134" s="6">
        <f>IF(Tabela5[[#This Row],[Dim_Cenario'[Nome Cenario']]]=Tabela5[[#Headers],[Revisado]],Tabela5[[#This Row],['[Valores_cenario']]],0)</f>
        <v>0</v>
      </c>
      <c r="P134" s="6">
        <f>IF(Tabela5[[#This Row],[Dim_Cenario'[Nome Cenario']]]=Tabela5[[#Headers],[Realizado]],Tabela5[[#This Row],['[Valores_cenario']]],0)</f>
        <v>0</v>
      </c>
    </row>
    <row r="135" hidden="1" spans="1:16">
      <c r="A135" t="s">
        <v>97</v>
      </c>
      <c r="B135" t="s">
        <v>18</v>
      </c>
      <c r="C135" t="s">
        <v>98</v>
      </c>
      <c r="D135" t="s">
        <v>20</v>
      </c>
      <c r="E135">
        <v>2023</v>
      </c>
      <c r="F135" t="s">
        <v>25</v>
      </c>
      <c r="G135" t="s">
        <v>38</v>
      </c>
      <c r="H135">
        <v>3</v>
      </c>
      <c r="I135">
        <v>30679.1</v>
      </c>
      <c r="J135" t="s">
        <v>23</v>
      </c>
      <c r="K135" s="3"/>
      <c r="N135" s="6">
        <f>IF(Tabela5[[#This Row],[Dim_Cenario'[Nome Cenario']]]=Tabela5[[#Headers],[INIC Atual]],Tabela5[[#This Row],['[Valores_cenario']]],0)</f>
        <v>30679.1</v>
      </c>
      <c r="O135" s="6">
        <f>IF(Tabela5[[#This Row],[Dim_Cenario'[Nome Cenario']]]=Tabela5[[#Headers],[Revisado]],Tabela5[[#This Row],['[Valores_cenario']]],0)</f>
        <v>0</v>
      </c>
      <c r="P135" s="6">
        <f>IF(Tabela5[[#This Row],[Dim_Cenario'[Nome Cenario']]]=Tabela5[[#Headers],[Realizado]],Tabela5[[#This Row],['[Valores_cenario']]],0)</f>
        <v>0</v>
      </c>
    </row>
    <row r="136" hidden="1" spans="1:16">
      <c r="A136" t="s">
        <v>97</v>
      </c>
      <c r="B136" t="s">
        <v>18</v>
      </c>
      <c r="C136" t="s">
        <v>98</v>
      </c>
      <c r="D136" t="s">
        <v>20</v>
      </c>
      <c r="E136">
        <v>2023</v>
      </c>
      <c r="F136" t="s">
        <v>27</v>
      </c>
      <c r="G136" t="s">
        <v>28</v>
      </c>
      <c r="H136">
        <v>4</v>
      </c>
      <c r="I136">
        <v>10579</v>
      </c>
      <c r="J136" t="s">
        <v>23</v>
      </c>
      <c r="K136" s="3"/>
      <c r="N136" s="6">
        <f>IF(Tabela5[[#This Row],[Dim_Cenario'[Nome Cenario']]]=Tabela5[[#Headers],[INIC Atual]],Tabela5[[#This Row],['[Valores_cenario']]],0)</f>
        <v>10579</v>
      </c>
      <c r="O136" s="6">
        <f>IF(Tabela5[[#This Row],[Dim_Cenario'[Nome Cenario']]]=Tabela5[[#Headers],[Revisado]],Tabela5[[#This Row],['[Valores_cenario']]],0)</f>
        <v>0</v>
      </c>
      <c r="P136" s="6">
        <f>IF(Tabela5[[#This Row],[Dim_Cenario'[Nome Cenario']]]=Tabela5[[#Headers],[Realizado]],Tabela5[[#This Row],['[Valores_cenario']]],0)</f>
        <v>0</v>
      </c>
    </row>
    <row r="137" hidden="1" spans="1:16">
      <c r="A137" t="s">
        <v>97</v>
      </c>
      <c r="B137" t="s">
        <v>18</v>
      </c>
      <c r="C137" t="s">
        <v>98</v>
      </c>
      <c r="D137" t="s">
        <v>20</v>
      </c>
      <c r="E137">
        <v>2023</v>
      </c>
      <c r="F137" t="s">
        <v>27</v>
      </c>
      <c r="G137" t="s">
        <v>39</v>
      </c>
      <c r="H137">
        <v>5</v>
      </c>
      <c r="I137">
        <v>15868.5</v>
      </c>
      <c r="J137" t="s">
        <v>23</v>
      </c>
      <c r="K137" s="3"/>
      <c r="N137" s="6">
        <f>IF(Tabela5[[#This Row],[Dim_Cenario'[Nome Cenario']]]=Tabela5[[#Headers],[INIC Atual]],Tabela5[[#This Row],['[Valores_cenario']]],0)</f>
        <v>15868.5</v>
      </c>
      <c r="O137" s="6">
        <f>IF(Tabela5[[#This Row],[Dim_Cenario'[Nome Cenario']]]=Tabela5[[#Headers],[Revisado]],Tabela5[[#This Row],['[Valores_cenario']]],0)</f>
        <v>0</v>
      </c>
      <c r="P137" s="6">
        <f>IF(Tabela5[[#This Row],[Dim_Cenario'[Nome Cenario']]]=Tabela5[[#Headers],[Realizado]],Tabela5[[#This Row],['[Valores_cenario']]],0)</f>
        <v>0</v>
      </c>
    </row>
    <row r="138" hidden="1" spans="1:16">
      <c r="A138" t="s">
        <v>97</v>
      </c>
      <c r="B138" t="s">
        <v>18</v>
      </c>
      <c r="C138" t="s">
        <v>98</v>
      </c>
      <c r="D138" t="s">
        <v>20</v>
      </c>
      <c r="E138">
        <v>2023</v>
      </c>
      <c r="F138" t="s">
        <v>27</v>
      </c>
      <c r="G138" t="s">
        <v>29</v>
      </c>
      <c r="H138">
        <v>6</v>
      </c>
      <c r="I138">
        <v>30679.1</v>
      </c>
      <c r="J138" t="s">
        <v>23</v>
      </c>
      <c r="K138" s="3"/>
      <c r="N138" s="6">
        <f>IF(Tabela5[[#This Row],[Dim_Cenario'[Nome Cenario']]]=Tabela5[[#Headers],[INIC Atual]],Tabela5[[#This Row],['[Valores_cenario']]],0)</f>
        <v>30679.1</v>
      </c>
      <c r="O138" s="6">
        <f>IF(Tabela5[[#This Row],[Dim_Cenario'[Nome Cenario']]]=Tabela5[[#Headers],[Revisado]],Tabela5[[#This Row],['[Valores_cenario']]],0)</f>
        <v>0</v>
      </c>
      <c r="P138" s="6">
        <f>IF(Tabela5[[#This Row],[Dim_Cenario'[Nome Cenario']]]=Tabela5[[#Headers],[Realizado]],Tabela5[[#This Row],['[Valores_cenario']]],0)</f>
        <v>0</v>
      </c>
    </row>
    <row r="139" hidden="1" spans="1:16">
      <c r="A139" t="s">
        <v>97</v>
      </c>
      <c r="B139" t="s">
        <v>18</v>
      </c>
      <c r="C139" t="s">
        <v>98</v>
      </c>
      <c r="D139" t="s">
        <v>20</v>
      </c>
      <c r="E139">
        <v>2023</v>
      </c>
      <c r="F139" t="s">
        <v>30</v>
      </c>
      <c r="G139" t="s">
        <v>40</v>
      </c>
      <c r="H139">
        <v>7</v>
      </c>
      <c r="I139">
        <v>10579</v>
      </c>
      <c r="J139" t="s">
        <v>23</v>
      </c>
      <c r="K139" s="3"/>
      <c r="N139" s="6">
        <f>IF(Tabela5[[#This Row],[Dim_Cenario'[Nome Cenario']]]=Tabela5[[#Headers],[INIC Atual]],Tabela5[[#This Row],['[Valores_cenario']]],0)</f>
        <v>10579</v>
      </c>
      <c r="O139" s="6">
        <f>IF(Tabela5[[#This Row],[Dim_Cenario'[Nome Cenario']]]=Tabela5[[#Headers],[Revisado]],Tabela5[[#This Row],['[Valores_cenario']]],0)</f>
        <v>0</v>
      </c>
      <c r="P139" s="6">
        <f>IF(Tabela5[[#This Row],[Dim_Cenario'[Nome Cenario']]]=Tabela5[[#Headers],[Realizado]],Tabela5[[#This Row],['[Valores_cenario']]],0)</f>
        <v>0</v>
      </c>
    </row>
    <row r="140" hidden="1" spans="1:16">
      <c r="A140" t="s">
        <v>97</v>
      </c>
      <c r="B140" t="s">
        <v>18</v>
      </c>
      <c r="C140" t="s">
        <v>98</v>
      </c>
      <c r="D140" t="s">
        <v>20</v>
      </c>
      <c r="E140">
        <v>2023</v>
      </c>
      <c r="F140" t="s">
        <v>30</v>
      </c>
      <c r="G140" t="s">
        <v>31</v>
      </c>
      <c r="H140">
        <v>8</v>
      </c>
      <c r="I140">
        <v>15868.5</v>
      </c>
      <c r="J140" t="s">
        <v>23</v>
      </c>
      <c r="K140" s="3"/>
      <c r="N140" s="6">
        <f>IF(Tabela5[[#This Row],[Dim_Cenario'[Nome Cenario']]]=Tabela5[[#Headers],[INIC Atual]],Tabela5[[#This Row],['[Valores_cenario']]],0)</f>
        <v>15868.5</v>
      </c>
      <c r="O140" s="6">
        <f>IF(Tabela5[[#This Row],[Dim_Cenario'[Nome Cenario']]]=Tabela5[[#Headers],[Revisado]],Tabela5[[#This Row],['[Valores_cenario']]],0)</f>
        <v>0</v>
      </c>
      <c r="P140" s="6">
        <f>IF(Tabela5[[#This Row],[Dim_Cenario'[Nome Cenario']]]=Tabela5[[#Headers],[Realizado]],Tabela5[[#This Row],['[Valores_cenario']]],0)</f>
        <v>0</v>
      </c>
    </row>
    <row r="141" hidden="1" spans="1:16">
      <c r="A141" t="s">
        <v>97</v>
      </c>
      <c r="B141" t="s">
        <v>18</v>
      </c>
      <c r="C141" t="s">
        <v>98</v>
      </c>
      <c r="D141" t="s">
        <v>20</v>
      </c>
      <c r="E141">
        <v>2023</v>
      </c>
      <c r="F141" t="s">
        <v>30</v>
      </c>
      <c r="G141" t="s">
        <v>41</v>
      </c>
      <c r="H141">
        <v>9</v>
      </c>
      <c r="I141">
        <v>30679.1</v>
      </c>
      <c r="J141" t="s">
        <v>23</v>
      </c>
      <c r="K141" s="3"/>
      <c r="N141" s="6">
        <f>IF(Tabela5[[#This Row],[Dim_Cenario'[Nome Cenario']]]=Tabela5[[#Headers],[INIC Atual]],Tabela5[[#This Row],['[Valores_cenario']]],0)</f>
        <v>30679.1</v>
      </c>
      <c r="O141" s="6">
        <f>IF(Tabela5[[#This Row],[Dim_Cenario'[Nome Cenario']]]=Tabela5[[#Headers],[Revisado]],Tabela5[[#This Row],['[Valores_cenario']]],0)</f>
        <v>0</v>
      </c>
      <c r="P141" s="6">
        <f>IF(Tabela5[[#This Row],[Dim_Cenario'[Nome Cenario']]]=Tabela5[[#Headers],[Realizado]],Tabela5[[#This Row],['[Valores_cenario']]],0)</f>
        <v>0</v>
      </c>
    </row>
    <row r="142" hidden="1" spans="1:16">
      <c r="A142" t="s">
        <v>97</v>
      </c>
      <c r="B142" t="s">
        <v>18</v>
      </c>
      <c r="C142" t="s">
        <v>98</v>
      </c>
      <c r="D142" t="s">
        <v>20</v>
      </c>
      <c r="E142">
        <v>2023</v>
      </c>
      <c r="F142" t="s">
        <v>21</v>
      </c>
      <c r="G142" t="s">
        <v>22</v>
      </c>
      <c r="H142">
        <v>10</v>
      </c>
      <c r="I142">
        <v>10579</v>
      </c>
      <c r="J142" t="s">
        <v>23</v>
      </c>
      <c r="K142" s="3"/>
      <c r="N142" s="6">
        <f>IF(Tabela5[[#This Row],[Dim_Cenario'[Nome Cenario']]]=Tabela5[[#Headers],[INIC Atual]],Tabela5[[#This Row],['[Valores_cenario']]],0)</f>
        <v>10579</v>
      </c>
      <c r="O142" s="6">
        <f>IF(Tabela5[[#This Row],[Dim_Cenario'[Nome Cenario']]]=Tabela5[[#Headers],[Revisado]],Tabela5[[#This Row],['[Valores_cenario']]],0)</f>
        <v>0</v>
      </c>
      <c r="P142" s="6">
        <f>IF(Tabela5[[#This Row],[Dim_Cenario'[Nome Cenario']]]=Tabela5[[#Headers],[Realizado]],Tabela5[[#This Row],['[Valores_cenario']]],0)</f>
        <v>0</v>
      </c>
    </row>
    <row r="143" hidden="1" spans="1:16">
      <c r="A143" t="s">
        <v>97</v>
      </c>
      <c r="B143" t="s">
        <v>18</v>
      </c>
      <c r="C143" t="s">
        <v>98</v>
      </c>
      <c r="D143" t="s">
        <v>20</v>
      </c>
      <c r="E143">
        <v>2023</v>
      </c>
      <c r="F143" t="s">
        <v>21</v>
      </c>
      <c r="G143" t="s">
        <v>24</v>
      </c>
      <c r="H143">
        <v>11</v>
      </c>
      <c r="I143">
        <v>15868.5</v>
      </c>
      <c r="J143" t="s">
        <v>23</v>
      </c>
      <c r="K143" s="3"/>
      <c r="N143" s="6">
        <f>IF(Tabela5[[#This Row],[Dim_Cenario'[Nome Cenario']]]=Tabela5[[#Headers],[INIC Atual]],Tabela5[[#This Row],['[Valores_cenario']]],0)</f>
        <v>15868.5</v>
      </c>
      <c r="O143" s="6">
        <f>IF(Tabela5[[#This Row],[Dim_Cenario'[Nome Cenario']]]=Tabela5[[#Headers],[Revisado]],Tabela5[[#This Row],['[Valores_cenario']]],0)</f>
        <v>0</v>
      </c>
      <c r="P143" s="6">
        <f>IF(Tabela5[[#This Row],[Dim_Cenario'[Nome Cenario']]]=Tabela5[[#Headers],[Realizado]],Tabela5[[#This Row],['[Valores_cenario']]],0)</f>
        <v>0</v>
      </c>
    </row>
    <row r="144" hidden="1" spans="1:16">
      <c r="A144" t="s">
        <v>97</v>
      </c>
      <c r="B144" t="s">
        <v>18</v>
      </c>
      <c r="C144" t="s">
        <v>98</v>
      </c>
      <c r="D144" t="s">
        <v>20</v>
      </c>
      <c r="E144">
        <v>2023</v>
      </c>
      <c r="F144" t="s">
        <v>21</v>
      </c>
      <c r="G144" t="s">
        <v>32</v>
      </c>
      <c r="H144">
        <v>12</v>
      </c>
      <c r="I144">
        <v>30679.1</v>
      </c>
      <c r="J144" t="s">
        <v>23</v>
      </c>
      <c r="K144" s="3"/>
      <c r="N144" s="6">
        <f>IF(Tabela5[[#This Row],[Dim_Cenario'[Nome Cenario']]]=Tabela5[[#Headers],[INIC Atual]],Tabela5[[#This Row],['[Valores_cenario']]],0)</f>
        <v>30679.1</v>
      </c>
      <c r="O144" s="6">
        <f>IF(Tabela5[[#This Row],[Dim_Cenario'[Nome Cenario']]]=Tabela5[[#Headers],[Revisado]],Tabela5[[#This Row],['[Valores_cenario']]],0)</f>
        <v>0</v>
      </c>
      <c r="P144" s="6">
        <f>IF(Tabela5[[#This Row],[Dim_Cenario'[Nome Cenario']]]=Tabela5[[#Headers],[Realizado]],Tabela5[[#This Row],['[Valores_cenario']]],0)</f>
        <v>0</v>
      </c>
    </row>
    <row r="145" hidden="1" spans="1:16">
      <c r="A145" t="s">
        <v>97</v>
      </c>
      <c r="B145" t="s">
        <v>18</v>
      </c>
      <c r="C145" t="s">
        <v>98</v>
      </c>
      <c r="D145" t="s">
        <v>20</v>
      </c>
      <c r="E145">
        <v>2024</v>
      </c>
      <c r="F145" t="s">
        <v>25</v>
      </c>
      <c r="G145" t="s">
        <v>35</v>
      </c>
      <c r="H145">
        <v>1</v>
      </c>
      <c r="I145">
        <v>11067.75</v>
      </c>
      <c r="J145" t="s">
        <v>23</v>
      </c>
      <c r="K145" s="3"/>
      <c r="N145" s="6">
        <f>IF(Tabela5[[#This Row],[Dim_Cenario'[Nome Cenario']]]=Tabela5[[#Headers],[INIC Atual]],Tabela5[[#This Row],['[Valores_cenario']]],0)</f>
        <v>11067.75</v>
      </c>
      <c r="O145" s="6">
        <f>IF(Tabela5[[#This Row],[Dim_Cenario'[Nome Cenario']]]=Tabela5[[#Headers],[Revisado]],Tabela5[[#This Row],['[Valores_cenario']]],0)</f>
        <v>0</v>
      </c>
      <c r="P145" s="6">
        <f>IF(Tabela5[[#This Row],[Dim_Cenario'[Nome Cenario']]]=Tabela5[[#Headers],[Realizado]],Tabela5[[#This Row],['[Valores_cenario']]],0)</f>
        <v>0</v>
      </c>
    </row>
    <row r="146" hidden="1" spans="1:16">
      <c r="A146" t="s">
        <v>97</v>
      </c>
      <c r="B146" t="s">
        <v>18</v>
      </c>
      <c r="C146" t="s">
        <v>98</v>
      </c>
      <c r="D146" t="s">
        <v>20</v>
      </c>
      <c r="E146">
        <v>2024</v>
      </c>
      <c r="F146" t="s">
        <v>25</v>
      </c>
      <c r="G146" t="s">
        <v>26</v>
      </c>
      <c r="H146">
        <v>2</v>
      </c>
      <c r="I146">
        <v>16601.625</v>
      </c>
      <c r="J146" t="s">
        <v>23</v>
      </c>
      <c r="K146" s="3"/>
      <c r="N146" s="6">
        <f>IF(Tabela5[[#This Row],[Dim_Cenario'[Nome Cenario']]]=Tabela5[[#Headers],[INIC Atual]],Tabela5[[#This Row],['[Valores_cenario']]],0)</f>
        <v>16601.625</v>
      </c>
      <c r="O146" s="6">
        <f>IF(Tabela5[[#This Row],[Dim_Cenario'[Nome Cenario']]]=Tabela5[[#Headers],[Revisado]],Tabela5[[#This Row],['[Valores_cenario']]],0)</f>
        <v>0</v>
      </c>
      <c r="P146" s="6">
        <f>IF(Tabela5[[#This Row],[Dim_Cenario'[Nome Cenario']]]=Tabela5[[#Headers],[Realizado]],Tabela5[[#This Row],['[Valores_cenario']]],0)</f>
        <v>0</v>
      </c>
    </row>
    <row r="147" hidden="1" spans="1:16">
      <c r="A147" t="s">
        <v>97</v>
      </c>
      <c r="B147" t="s">
        <v>18</v>
      </c>
      <c r="C147" t="s">
        <v>98</v>
      </c>
      <c r="D147" t="s">
        <v>20</v>
      </c>
      <c r="E147">
        <v>2024</v>
      </c>
      <c r="F147" t="s">
        <v>25</v>
      </c>
      <c r="G147" t="s">
        <v>38</v>
      </c>
      <c r="H147">
        <v>3</v>
      </c>
      <c r="I147">
        <v>32096.474</v>
      </c>
      <c r="J147" t="s">
        <v>23</v>
      </c>
      <c r="K147" s="3"/>
      <c r="N147" s="6">
        <f>IF(Tabela5[[#This Row],[Dim_Cenario'[Nome Cenario']]]=Tabela5[[#Headers],[INIC Atual]],Tabela5[[#This Row],['[Valores_cenario']]],0)</f>
        <v>32096.474</v>
      </c>
      <c r="O147" s="6">
        <f>IF(Tabela5[[#This Row],[Dim_Cenario'[Nome Cenario']]]=Tabela5[[#Headers],[Revisado]],Tabela5[[#This Row],['[Valores_cenario']]],0)</f>
        <v>0</v>
      </c>
      <c r="P147" s="6">
        <f>IF(Tabela5[[#This Row],[Dim_Cenario'[Nome Cenario']]]=Tabela5[[#Headers],[Realizado]],Tabela5[[#This Row],['[Valores_cenario']]],0)</f>
        <v>0</v>
      </c>
    </row>
    <row r="148" hidden="1" spans="1:16">
      <c r="A148" t="s">
        <v>97</v>
      </c>
      <c r="B148" t="s">
        <v>18</v>
      </c>
      <c r="C148" t="s">
        <v>98</v>
      </c>
      <c r="D148" t="s">
        <v>20</v>
      </c>
      <c r="E148">
        <v>2024</v>
      </c>
      <c r="F148" t="s">
        <v>27</v>
      </c>
      <c r="G148" t="s">
        <v>28</v>
      </c>
      <c r="H148">
        <v>4</v>
      </c>
      <c r="I148">
        <v>11067.75</v>
      </c>
      <c r="J148" t="s">
        <v>23</v>
      </c>
      <c r="K148" s="3"/>
      <c r="N148" s="6">
        <f>IF(Tabela5[[#This Row],[Dim_Cenario'[Nome Cenario']]]=Tabela5[[#Headers],[INIC Atual]],Tabela5[[#This Row],['[Valores_cenario']]],0)</f>
        <v>11067.75</v>
      </c>
      <c r="O148" s="6">
        <f>IF(Tabela5[[#This Row],[Dim_Cenario'[Nome Cenario']]]=Tabela5[[#Headers],[Revisado]],Tabela5[[#This Row],['[Valores_cenario']]],0)</f>
        <v>0</v>
      </c>
      <c r="P148" s="6">
        <f>IF(Tabela5[[#This Row],[Dim_Cenario'[Nome Cenario']]]=Tabela5[[#Headers],[Realizado]],Tabela5[[#This Row],['[Valores_cenario']]],0)</f>
        <v>0</v>
      </c>
    </row>
    <row r="149" hidden="1" spans="1:16">
      <c r="A149" t="s">
        <v>97</v>
      </c>
      <c r="B149" t="s">
        <v>18</v>
      </c>
      <c r="C149" t="s">
        <v>98</v>
      </c>
      <c r="D149" t="s">
        <v>20</v>
      </c>
      <c r="E149">
        <v>2024</v>
      </c>
      <c r="F149" t="s">
        <v>27</v>
      </c>
      <c r="G149" t="s">
        <v>39</v>
      </c>
      <c r="H149">
        <v>5</v>
      </c>
      <c r="I149">
        <v>16601.625</v>
      </c>
      <c r="J149" t="s">
        <v>23</v>
      </c>
      <c r="K149" s="3"/>
      <c r="N149" s="6">
        <f>IF(Tabela5[[#This Row],[Dim_Cenario'[Nome Cenario']]]=Tabela5[[#Headers],[INIC Atual]],Tabela5[[#This Row],['[Valores_cenario']]],0)</f>
        <v>16601.625</v>
      </c>
      <c r="O149" s="6">
        <f>IF(Tabela5[[#This Row],[Dim_Cenario'[Nome Cenario']]]=Tabela5[[#Headers],[Revisado]],Tabela5[[#This Row],['[Valores_cenario']]],0)</f>
        <v>0</v>
      </c>
      <c r="P149" s="6">
        <f>IF(Tabela5[[#This Row],[Dim_Cenario'[Nome Cenario']]]=Tabela5[[#Headers],[Realizado]],Tabela5[[#This Row],['[Valores_cenario']]],0)</f>
        <v>0</v>
      </c>
    </row>
    <row r="150" hidden="1" spans="1:16">
      <c r="A150" t="s">
        <v>97</v>
      </c>
      <c r="B150" t="s">
        <v>18</v>
      </c>
      <c r="C150" t="s">
        <v>98</v>
      </c>
      <c r="D150" t="s">
        <v>20</v>
      </c>
      <c r="E150">
        <v>2024</v>
      </c>
      <c r="F150" t="s">
        <v>27</v>
      </c>
      <c r="G150" t="s">
        <v>29</v>
      </c>
      <c r="H150">
        <v>6</v>
      </c>
      <c r="I150">
        <v>32096.474</v>
      </c>
      <c r="J150" t="s">
        <v>23</v>
      </c>
      <c r="K150" s="3"/>
      <c r="N150" s="6">
        <f>IF(Tabela5[[#This Row],[Dim_Cenario'[Nome Cenario']]]=Tabela5[[#Headers],[INIC Atual]],Tabela5[[#This Row],['[Valores_cenario']]],0)</f>
        <v>32096.474</v>
      </c>
      <c r="O150" s="6">
        <f>IF(Tabela5[[#This Row],[Dim_Cenario'[Nome Cenario']]]=Tabela5[[#Headers],[Revisado]],Tabela5[[#This Row],['[Valores_cenario']]],0)</f>
        <v>0</v>
      </c>
      <c r="P150" s="6">
        <f>IF(Tabela5[[#This Row],[Dim_Cenario'[Nome Cenario']]]=Tabela5[[#Headers],[Realizado]],Tabela5[[#This Row],['[Valores_cenario']]],0)</f>
        <v>0</v>
      </c>
    </row>
    <row r="151" hidden="1" spans="1:16">
      <c r="A151" t="s">
        <v>97</v>
      </c>
      <c r="B151" t="s">
        <v>18</v>
      </c>
      <c r="C151" t="s">
        <v>98</v>
      </c>
      <c r="D151" t="s">
        <v>20</v>
      </c>
      <c r="E151">
        <v>2024</v>
      </c>
      <c r="F151" t="s">
        <v>30</v>
      </c>
      <c r="G151" t="s">
        <v>40</v>
      </c>
      <c r="H151">
        <v>7</v>
      </c>
      <c r="I151">
        <v>11067.75</v>
      </c>
      <c r="J151" t="s">
        <v>23</v>
      </c>
      <c r="K151" s="3"/>
      <c r="N151" s="6">
        <f>IF(Tabela5[[#This Row],[Dim_Cenario'[Nome Cenario']]]=Tabela5[[#Headers],[INIC Atual]],Tabela5[[#This Row],['[Valores_cenario']]],0)</f>
        <v>11067.75</v>
      </c>
      <c r="O151" s="6">
        <f>IF(Tabela5[[#This Row],[Dim_Cenario'[Nome Cenario']]]=Tabela5[[#Headers],[Revisado]],Tabela5[[#This Row],['[Valores_cenario']]],0)</f>
        <v>0</v>
      </c>
      <c r="P151" s="6">
        <f>IF(Tabela5[[#This Row],[Dim_Cenario'[Nome Cenario']]]=Tabela5[[#Headers],[Realizado]],Tabela5[[#This Row],['[Valores_cenario']]],0)</f>
        <v>0</v>
      </c>
    </row>
    <row r="152" hidden="1" spans="1:16">
      <c r="A152" t="s">
        <v>97</v>
      </c>
      <c r="B152" t="s">
        <v>18</v>
      </c>
      <c r="C152" t="s">
        <v>98</v>
      </c>
      <c r="D152" t="s">
        <v>20</v>
      </c>
      <c r="E152">
        <v>2024</v>
      </c>
      <c r="F152" t="s">
        <v>30</v>
      </c>
      <c r="G152" t="s">
        <v>31</v>
      </c>
      <c r="H152">
        <v>8</v>
      </c>
      <c r="I152">
        <v>16601.625</v>
      </c>
      <c r="J152" t="s">
        <v>23</v>
      </c>
      <c r="K152" s="3"/>
      <c r="N152" s="6">
        <f>IF(Tabela5[[#This Row],[Dim_Cenario'[Nome Cenario']]]=Tabela5[[#Headers],[INIC Atual]],Tabela5[[#This Row],['[Valores_cenario']]],0)</f>
        <v>16601.625</v>
      </c>
      <c r="O152" s="6">
        <f>IF(Tabela5[[#This Row],[Dim_Cenario'[Nome Cenario']]]=Tabela5[[#Headers],[Revisado]],Tabela5[[#This Row],['[Valores_cenario']]],0)</f>
        <v>0</v>
      </c>
      <c r="P152" s="6">
        <f>IF(Tabela5[[#This Row],[Dim_Cenario'[Nome Cenario']]]=Tabela5[[#Headers],[Realizado]],Tabela5[[#This Row],['[Valores_cenario']]],0)</f>
        <v>0</v>
      </c>
    </row>
    <row r="153" hidden="1" spans="1:16">
      <c r="A153" t="s">
        <v>97</v>
      </c>
      <c r="B153" t="s">
        <v>18</v>
      </c>
      <c r="C153" t="s">
        <v>98</v>
      </c>
      <c r="D153" t="s">
        <v>20</v>
      </c>
      <c r="E153">
        <v>2024</v>
      </c>
      <c r="F153" t="s">
        <v>30</v>
      </c>
      <c r="G153" t="s">
        <v>41</v>
      </c>
      <c r="H153">
        <v>9</v>
      </c>
      <c r="I153">
        <v>32096.474</v>
      </c>
      <c r="J153" t="s">
        <v>23</v>
      </c>
      <c r="K153" s="3"/>
      <c r="N153" s="6">
        <f>IF(Tabela5[[#This Row],[Dim_Cenario'[Nome Cenario']]]=Tabela5[[#Headers],[INIC Atual]],Tabela5[[#This Row],['[Valores_cenario']]],0)</f>
        <v>32096.474</v>
      </c>
      <c r="O153" s="6">
        <f>IF(Tabela5[[#This Row],[Dim_Cenario'[Nome Cenario']]]=Tabela5[[#Headers],[Revisado]],Tabela5[[#This Row],['[Valores_cenario']]],0)</f>
        <v>0</v>
      </c>
      <c r="P153" s="6">
        <f>IF(Tabela5[[#This Row],[Dim_Cenario'[Nome Cenario']]]=Tabela5[[#Headers],[Realizado]],Tabela5[[#This Row],['[Valores_cenario']]],0)</f>
        <v>0</v>
      </c>
    </row>
    <row r="154" hidden="1" spans="1:16">
      <c r="A154" t="s">
        <v>97</v>
      </c>
      <c r="B154" t="s">
        <v>18</v>
      </c>
      <c r="C154" t="s">
        <v>98</v>
      </c>
      <c r="D154" t="s">
        <v>20</v>
      </c>
      <c r="E154">
        <v>2024</v>
      </c>
      <c r="F154" t="s">
        <v>21</v>
      </c>
      <c r="G154" t="s">
        <v>22</v>
      </c>
      <c r="H154">
        <v>10</v>
      </c>
      <c r="I154">
        <v>11067.75</v>
      </c>
      <c r="J154" t="s">
        <v>23</v>
      </c>
      <c r="K154" s="3"/>
      <c r="N154" s="6">
        <f>IF(Tabela5[[#This Row],[Dim_Cenario'[Nome Cenario']]]=Tabela5[[#Headers],[INIC Atual]],Tabela5[[#This Row],['[Valores_cenario']]],0)</f>
        <v>11067.75</v>
      </c>
      <c r="O154" s="6">
        <f>IF(Tabela5[[#This Row],[Dim_Cenario'[Nome Cenario']]]=Tabela5[[#Headers],[Revisado]],Tabela5[[#This Row],['[Valores_cenario']]],0)</f>
        <v>0</v>
      </c>
      <c r="P154" s="6">
        <f>IF(Tabela5[[#This Row],[Dim_Cenario'[Nome Cenario']]]=Tabela5[[#Headers],[Realizado]],Tabela5[[#This Row],['[Valores_cenario']]],0)</f>
        <v>0</v>
      </c>
    </row>
    <row r="155" hidden="1" spans="1:16">
      <c r="A155" t="s">
        <v>97</v>
      </c>
      <c r="B155" t="s">
        <v>18</v>
      </c>
      <c r="C155" t="s">
        <v>98</v>
      </c>
      <c r="D155" t="s">
        <v>20</v>
      </c>
      <c r="E155">
        <v>2024</v>
      </c>
      <c r="F155" t="s">
        <v>21</v>
      </c>
      <c r="G155" t="s">
        <v>24</v>
      </c>
      <c r="H155">
        <v>11</v>
      </c>
      <c r="I155">
        <v>16601.625</v>
      </c>
      <c r="J155" t="s">
        <v>23</v>
      </c>
      <c r="K155" s="3"/>
      <c r="N155" s="6">
        <f>IF(Tabela5[[#This Row],[Dim_Cenario'[Nome Cenario']]]=Tabela5[[#Headers],[INIC Atual]],Tabela5[[#This Row],['[Valores_cenario']]],0)</f>
        <v>16601.625</v>
      </c>
      <c r="O155" s="6">
        <f>IF(Tabela5[[#This Row],[Dim_Cenario'[Nome Cenario']]]=Tabela5[[#Headers],[Revisado]],Tabela5[[#This Row],['[Valores_cenario']]],0)</f>
        <v>0</v>
      </c>
      <c r="P155" s="6">
        <f>IF(Tabela5[[#This Row],[Dim_Cenario'[Nome Cenario']]]=Tabela5[[#Headers],[Realizado]],Tabela5[[#This Row],['[Valores_cenario']]],0)</f>
        <v>0</v>
      </c>
    </row>
    <row r="156" hidden="1" spans="1:16">
      <c r="A156" t="s">
        <v>97</v>
      </c>
      <c r="B156" t="s">
        <v>18</v>
      </c>
      <c r="C156" t="s">
        <v>98</v>
      </c>
      <c r="D156" t="s">
        <v>20</v>
      </c>
      <c r="E156">
        <v>2024</v>
      </c>
      <c r="F156" t="s">
        <v>21</v>
      </c>
      <c r="G156" t="s">
        <v>32</v>
      </c>
      <c r="H156">
        <v>12</v>
      </c>
      <c r="I156">
        <v>32096.474</v>
      </c>
      <c r="J156" t="s">
        <v>23</v>
      </c>
      <c r="K156" s="3"/>
      <c r="N156" s="6">
        <f>IF(Tabela5[[#This Row],[Dim_Cenario'[Nome Cenario']]]=Tabela5[[#Headers],[INIC Atual]],Tabela5[[#This Row],['[Valores_cenario']]],0)</f>
        <v>32096.474</v>
      </c>
      <c r="O156" s="6">
        <f>IF(Tabela5[[#This Row],[Dim_Cenario'[Nome Cenario']]]=Tabela5[[#Headers],[Revisado]],Tabela5[[#This Row],['[Valores_cenario']]],0)</f>
        <v>0</v>
      </c>
      <c r="P156" s="6">
        <f>IF(Tabela5[[#This Row],[Dim_Cenario'[Nome Cenario']]]=Tabela5[[#Headers],[Realizado]],Tabela5[[#This Row],['[Valores_cenario']]],0)</f>
        <v>0</v>
      </c>
    </row>
    <row r="157" hidden="1" spans="1:16">
      <c r="A157" t="s">
        <v>97</v>
      </c>
      <c r="B157" t="s">
        <v>18</v>
      </c>
      <c r="C157" t="s">
        <v>99</v>
      </c>
      <c r="D157" t="s">
        <v>20</v>
      </c>
      <c r="E157">
        <v>2026</v>
      </c>
      <c r="F157" t="s">
        <v>27</v>
      </c>
      <c r="G157" t="s">
        <v>29</v>
      </c>
      <c r="H157">
        <v>6</v>
      </c>
      <c r="I157">
        <v>207376.94</v>
      </c>
      <c r="J157" t="s">
        <v>33</v>
      </c>
      <c r="K157" s="3"/>
      <c r="N157" s="6">
        <f>IF(Tabela5[[#This Row],[Dim_Cenario'[Nome Cenario']]]=Tabela5[[#Headers],[INIC Atual]],Tabela5[[#This Row],['[Valores_cenario']]],0)</f>
        <v>207376.94</v>
      </c>
      <c r="O157" s="6">
        <f>IF(Tabela5[[#This Row],[Dim_Cenario'[Nome Cenario']]]=Tabela5[[#Headers],[Revisado]],Tabela5[[#This Row],['[Valores_cenario']]],0)</f>
        <v>0</v>
      </c>
      <c r="P157" s="6">
        <f>IF(Tabela5[[#This Row],[Dim_Cenario'[Nome Cenario']]]=Tabela5[[#Headers],[Realizado]],Tabela5[[#This Row],['[Valores_cenario']]],0)</f>
        <v>0</v>
      </c>
    </row>
    <row r="158" hidden="1" spans="1:16">
      <c r="A158" t="s">
        <v>97</v>
      </c>
      <c r="B158" t="s">
        <v>18</v>
      </c>
      <c r="C158" t="s">
        <v>99</v>
      </c>
      <c r="D158" t="s">
        <v>20</v>
      </c>
      <c r="E158">
        <v>2026</v>
      </c>
      <c r="F158" t="s">
        <v>30</v>
      </c>
      <c r="G158" t="s">
        <v>40</v>
      </c>
      <c r="H158">
        <v>7</v>
      </c>
      <c r="I158">
        <v>207376.94</v>
      </c>
      <c r="J158" t="s">
        <v>33</v>
      </c>
      <c r="K158" s="3"/>
      <c r="N158" s="6">
        <f>IF(Tabela5[[#This Row],[Dim_Cenario'[Nome Cenario']]]=Tabela5[[#Headers],[INIC Atual]],Tabela5[[#This Row],['[Valores_cenario']]],0)</f>
        <v>207376.94</v>
      </c>
      <c r="O158" s="6">
        <f>IF(Tabela5[[#This Row],[Dim_Cenario'[Nome Cenario']]]=Tabela5[[#Headers],[Revisado]],Tabela5[[#This Row],['[Valores_cenario']]],0)</f>
        <v>0</v>
      </c>
      <c r="P158" s="6">
        <f>IF(Tabela5[[#This Row],[Dim_Cenario'[Nome Cenario']]]=Tabela5[[#Headers],[Realizado]],Tabela5[[#This Row],['[Valores_cenario']]],0)</f>
        <v>0</v>
      </c>
    </row>
    <row r="159" hidden="1" spans="1:16">
      <c r="A159" t="s">
        <v>97</v>
      </c>
      <c r="B159" t="s">
        <v>18</v>
      </c>
      <c r="C159" t="s">
        <v>99</v>
      </c>
      <c r="D159" t="s">
        <v>20</v>
      </c>
      <c r="E159">
        <v>2026</v>
      </c>
      <c r="F159" t="s">
        <v>30</v>
      </c>
      <c r="G159" t="s">
        <v>31</v>
      </c>
      <c r="H159">
        <v>8</v>
      </c>
      <c r="I159">
        <v>207376.94</v>
      </c>
      <c r="J159" t="s">
        <v>33</v>
      </c>
      <c r="K159" s="3"/>
      <c r="N159" s="6">
        <f>IF(Tabela5[[#This Row],[Dim_Cenario'[Nome Cenario']]]=Tabela5[[#Headers],[INIC Atual]],Tabela5[[#This Row],['[Valores_cenario']]],0)</f>
        <v>207376.94</v>
      </c>
      <c r="O159" s="6">
        <f>IF(Tabela5[[#This Row],[Dim_Cenario'[Nome Cenario']]]=Tabela5[[#Headers],[Revisado]],Tabela5[[#This Row],['[Valores_cenario']]],0)</f>
        <v>0</v>
      </c>
      <c r="P159" s="6">
        <f>IF(Tabela5[[#This Row],[Dim_Cenario'[Nome Cenario']]]=Tabela5[[#Headers],[Realizado]],Tabela5[[#This Row],['[Valores_cenario']]],0)</f>
        <v>0</v>
      </c>
    </row>
    <row r="160" hidden="1" spans="1:16">
      <c r="A160" t="s">
        <v>97</v>
      </c>
      <c r="B160" t="s">
        <v>18</v>
      </c>
      <c r="C160" t="s">
        <v>99</v>
      </c>
      <c r="D160" t="s">
        <v>20</v>
      </c>
      <c r="E160">
        <v>2026</v>
      </c>
      <c r="F160" t="s">
        <v>30</v>
      </c>
      <c r="G160" t="s">
        <v>41</v>
      </c>
      <c r="H160">
        <v>9</v>
      </c>
      <c r="I160">
        <v>207376.94</v>
      </c>
      <c r="J160" t="s">
        <v>33</v>
      </c>
      <c r="K160" s="3"/>
      <c r="N160" s="6">
        <f>IF(Tabela5[[#This Row],[Dim_Cenario'[Nome Cenario']]]=Tabela5[[#Headers],[INIC Atual]],Tabela5[[#This Row],['[Valores_cenario']]],0)</f>
        <v>207376.94</v>
      </c>
      <c r="O160" s="6">
        <f>IF(Tabela5[[#This Row],[Dim_Cenario'[Nome Cenario']]]=Tabela5[[#Headers],[Revisado]],Tabela5[[#This Row],['[Valores_cenario']]],0)</f>
        <v>0</v>
      </c>
      <c r="P160" s="6">
        <f>IF(Tabela5[[#This Row],[Dim_Cenario'[Nome Cenario']]]=Tabela5[[#Headers],[Realizado]],Tabela5[[#This Row],['[Valores_cenario']]],0)</f>
        <v>0</v>
      </c>
    </row>
    <row r="161" hidden="1" spans="1:16">
      <c r="A161" t="s">
        <v>97</v>
      </c>
      <c r="B161" t="s">
        <v>18</v>
      </c>
      <c r="C161" t="s">
        <v>99</v>
      </c>
      <c r="D161" t="s">
        <v>20</v>
      </c>
      <c r="E161">
        <v>2026</v>
      </c>
      <c r="F161" t="s">
        <v>21</v>
      </c>
      <c r="G161" t="s">
        <v>22</v>
      </c>
      <c r="H161">
        <v>10</v>
      </c>
      <c r="I161">
        <v>207376.94</v>
      </c>
      <c r="J161" t="s">
        <v>33</v>
      </c>
      <c r="K161" s="3"/>
      <c r="N161" s="6">
        <f>IF(Tabela5[[#This Row],[Dim_Cenario'[Nome Cenario']]]=Tabela5[[#Headers],[INIC Atual]],Tabela5[[#This Row],['[Valores_cenario']]],0)</f>
        <v>207376.94</v>
      </c>
      <c r="O161" s="6">
        <f>IF(Tabela5[[#This Row],[Dim_Cenario'[Nome Cenario']]]=Tabela5[[#Headers],[Revisado]],Tabela5[[#This Row],['[Valores_cenario']]],0)</f>
        <v>0</v>
      </c>
      <c r="P161" s="6">
        <f>IF(Tabela5[[#This Row],[Dim_Cenario'[Nome Cenario']]]=Tabela5[[#Headers],[Realizado]],Tabela5[[#This Row],['[Valores_cenario']]],0)</f>
        <v>0</v>
      </c>
    </row>
    <row r="162" hidden="1" spans="1:16">
      <c r="A162" t="s">
        <v>97</v>
      </c>
      <c r="B162" t="s">
        <v>18</v>
      </c>
      <c r="C162" t="s">
        <v>99</v>
      </c>
      <c r="D162" t="s">
        <v>20</v>
      </c>
      <c r="E162">
        <v>2026</v>
      </c>
      <c r="F162" t="s">
        <v>21</v>
      </c>
      <c r="G162" t="s">
        <v>24</v>
      </c>
      <c r="H162">
        <v>11</v>
      </c>
      <c r="I162">
        <v>207376.94</v>
      </c>
      <c r="J162" t="s">
        <v>33</v>
      </c>
      <c r="K162" s="3"/>
      <c r="N162" s="6">
        <f>IF(Tabela5[[#This Row],[Dim_Cenario'[Nome Cenario']]]=Tabela5[[#Headers],[INIC Atual]],Tabela5[[#This Row],['[Valores_cenario']]],0)</f>
        <v>207376.94</v>
      </c>
      <c r="O162" s="6">
        <f>IF(Tabela5[[#This Row],[Dim_Cenario'[Nome Cenario']]]=Tabela5[[#Headers],[Revisado]],Tabela5[[#This Row],['[Valores_cenario']]],0)</f>
        <v>0</v>
      </c>
      <c r="P162" s="6">
        <f>IF(Tabela5[[#This Row],[Dim_Cenario'[Nome Cenario']]]=Tabela5[[#Headers],[Realizado]],Tabela5[[#This Row],['[Valores_cenario']]],0)</f>
        <v>0</v>
      </c>
    </row>
    <row r="163" hidden="1" spans="1:16">
      <c r="A163" t="s">
        <v>97</v>
      </c>
      <c r="B163" t="s">
        <v>18</v>
      </c>
      <c r="C163" t="s">
        <v>99</v>
      </c>
      <c r="D163" t="s">
        <v>20</v>
      </c>
      <c r="E163">
        <v>2026</v>
      </c>
      <c r="F163" t="s">
        <v>21</v>
      </c>
      <c r="G163" t="s">
        <v>32</v>
      </c>
      <c r="H163">
        <v>12</v>
      </c>
      <c r="I163">
        <v>207376.94</v>
      </c>
      <c r="J163" t="s">
        <v>33</v>
      </c>
      <c r="K163" s="3"/>
      <c r="N163" s="6">
        <f>IF(Tabela5[[#This Row],[Dim_Cenario'[Nome Cenario']]]=Tabela5[[#Headers],[INIC Atual]],Tabela5[[#This Row],['[Valores_cenario']]],0)</f>
        <v>207376.94</v>
      </c>
      <c r="O163" s="6">
        <f>IF(Tabela5[[#This Row],[Dim_Cenario'[Nome Cenario']]]=Tabela5[[#Headers],[Revisado]],Tabela5[[#This Row],['[Valores_cenario']]],0)</f>
        <v>0</v>
      </c>
      <c r="P163" s="6">
        <f>IF(Tabela5[[#This Row],[Dim_Cenario'[Nome Cenario']]]=Tabela5[[#Headers],[Realizado]],Tabela5[[#This Row],['[Valores_cenario']]],0)</f>
        <v>0</v>
      </c>
    </row>
    <row r="164" hidden="1" spans="1:16">
      <c r="A164" t="s">
        <v>17</v>
      </c>
      <c r="B164" t="s">
        <v>18</v>
      </c>
      <c r="C164" t="s">
        <v>19</v>
      </c>
      <c r="D164" t="s">
        <v>14</v>
      </c>
      <c r="E164">
        <v>2022</v>
      </c>
      <c r="F164" t="s">
        <v>25</v>
      </c>
      <c r="G164" t="s">
        <v>35</v>
      </c>
      <c r="H164">
        <v>1</v>
      </c>
      <c r="I164">
        <v>19875</v>
      </c>
      <c r="J164" t="s">
        <v>23</v>
      </c>
      <c r="K164" s="3"/>
      <c r="N164" s="6">
        <f>IF(Tabela5[[#This Row],[Dim_Cenario'[Nome Cenario']]]=Tabela5[[#Headers],[INIC Atual]],Tabela5[[#This Row],['[Valores_cenario']]],0)</f>
        <v>0</v>
      </c>
      <c r="O164" s="6">
        <f>IF(Tabela5[[#This Row],[Dim_Cenario'[Nome Cenario']]]=Tabela5[[#Headers],[Revisado]],Tabela5[[#This Row],['[Valores_cenario']]],0)</f>
        <v>19875</v>
      </c>
      <c r="P164" s="6">
        <f>IF(Tabela5[[#This Row],[Dim_Cenario'[Nome Cenario']]]=Tabela5[[#Headers],[Realizado]],Tabela5[[#This Row],['[Valores_cenario']]],0)</f>
        <v>0</v>
      </c>
    </row>
    <row r="165" hidden="1" spans="1:16">
      <c r="A165" t="s">
        <v>17</v>
      </c>
      <c r="B165" t="s">
        <v>18</v>
      </c>
      <c r="C165" t="s">
        <v>19</v>
      </c>
      <c r="D165" t="s">
        <v>14</v>
      </c>
      <c r="E165">
        <v>2022</v>
      </c>
      <c r="F165" t="s">
        <v>27</v>
      </c>
      <c r="G165" t="s">
        <v>39</v>
      </c>
      <c r="H165">
        <v>5</v>
      </c>
      <c r="I165">
        <v>24625</v>
      </c>
      <c r="J165" t="s">
        <v>23</v>
      </c>
      <c r="K165" s="3"/>
      <c r="N165" s="6">
        <f>IF(Tabela5[[#This Row],[Dim_Cenario'[Nome Cenario']]]=Tabela5[[#Headers],[INIC Atual]],Tabela5[[#This Row],['[Valores_cenario']]],0)</f>
        <v>0</v>
      </c>
      <c r="O165" s="6">
        <f>IF(Tabela5[[#This Row],[Dim_Cenario'[Nome Cenario']]]=Tabela5[[#Headers],[Revisado]],Tabela5[[#This Row],['[Valores_cenario']]],0)</f>
        <v>24625</v>
      </c>
      <c r="P165" s="6">
        <f>IF(Tabela5[[#This Row],[Dim_Cenario'[Nome Cenario']]]=Tabela5[[#Headers],[Realizado]],Tabela5[[#This Row],['[Valores_cenario']]],0)</f>
        <v>0</v>
      </c>
    </row>
    <row r="166" hidden="1" spans="1:16">
      <c r="A166" t="s">
        <v>17</v>
      </c>
      <c r="B166" t="s">
        <v>18</v>
      </c>
      <c r="C166" t="s">
        <v>19</v>
      </c>
      <c r="D166" t="s">
        <v>14</v>
      </c>
      <c r="E166">
        <v>2022</v>
      </c>
      <c r="F166" t="s">
        <v>27</v>
      </c>
      <c r="G166" t="s">
        <v>29</v>
      </c>
      <c r="H166">
        <v>6</v>
      </c>
      <c r="I166">
        <v>3000</v>
      </c>
      <c r="J166" t="s">
        <v>23</v>
      </c>
      <c r="K166" s="3"/>
      <c r="N166" s="6">
        <f>IF(Tabela5[[#This Row],[Dim_Cenario'[Nome Cenario']]]=Tabela5[[#Headers],[INIC Atual]],Tabela5[[#This Row],['[Valores_cenario']]],0)</f>
        <v>0</v>
      </c>
      <c r="O166" s="6">
        <f>IF(Tabela5[[#This Row],[Dim_Cenario'[Nome Cenario']]]=Tabela5[[#Headers],[Revisado]],Tabela5[[#This Row],['[Valores_cenario']]],0)</f>
        <v>3000</v>
      </c>
      <c r="P166" s="6">
        <f>IF(Tabela5[[#This Row],[Dim_Cenario'[Nome Cenario']]]=Tabela5[[#Headers],[Realizado]],Tabela5[[#This Row],['[Valores_cenario']]],0)</f>
        <v>0</v>
      </c>
    </row>
    <row r="167" hidden="1" spans="1:16">
      <c r="A167" t="s">
        <v>17</v>
      </c>
      <c r="B167" t="s">
        <v>18</v>
      </c>
      <c r="C167" t="s">
        <v>19</v>
      </c>
      <c r="D167" t="s">
        <v>14</v>
      </c>
      <c r="E167">
        <v>2022</v>
      </c>
      <c r="F167" t="s">
        <v>30</v>
      </c>
      <c r="G167" t="s">
        <v>40</v>
      </c>
      <c r="H167">
        <v>7</v>
      </c>
      <c r="I167">
        <v>3000</v>
      </c>
      <c r="J167" t="s">
        <v>23</v>
      </c>
      <c r="K167" s="3"/>
      <c r="N167" s="6">
        <f>IF(Tabela5[[#This Row],[Dim_Cenario'[Nome Cenario']]]=Tabela5[[#Headers],[INIC Atual]],Tabela5[[#This Row],['[Valores_cenario']]],0)</f>
        <v>0</v>
      </c>
      <c r="O167" s="6">
        <f>IF(Tabela5[[#This Row],[Dim_Cenario'[Nome Cenario']]]=Tabela5[[#Headers],[Revisado]],Tabela5[[#This Row],['[Valores_cenario']]],0)</f>
        <v>3000</v>
      </c>
      <c r="P167" s="6">
        <f>IF(Tabela5[[#This Row],[Dim_Cenario'[Nome Cenario']]]=Tabela5[[#Headers],[Realizado]],Tabela5[[#This Row],['[Valores_cenario']]],0)</f>
        <v>0</v>
      </c>
    </row>
    <row r="168" hidden="1" spans="1:16">
      <c r="A168" t="s">
        <v>17</v>
      </c>
      <c r="B168" t="s">
        <v>18</v>
      </c>
      <c r="C168" t="s">
        <v>19</v>
      </c>
      <c r="D168" t="s">
        <v>14</v>
      </c>
      <c r="E168">
        <v>2022</v>
      </c>
      <c r="F168" t="s">
        <v>21</v>
      </c>
      <c r="G168" t="s">
        <v>24</v>
      </c>
      <c r="H168">
        <v>11</v>
      </c>
      <c r="I168">
        <v>23000</v>
      </c>
      <c r="J168" t="s">
        <v>23</v>
      </c>
      <c r="K168" s="3"/>
      <c r="N168" s="6">
        <f>IF(Tabela5[[#This Row],[Dim_Cenario'[Nome Cenario']]]=Tabela5[[#Headers],[INIC Atual]],Tabela5[[#This Row],['[Valores_cenario']]],0)</f>
        <v>0</v>
      </c>
      <c r="O168" s="6">
        <f>IF(Tabela5[[#This Row],[Dim_Cenario'[Nome Cenario']]]=Tabela5[[#Headers],[Revisado]],Tabela5[[#This Row],['[Valores_cenario']]],0)</f>
        <v>23000</v>
      </c>
      <c r="P168" s="6">
        <f>IF(Tabela5[[#This Row],[Dim_Cenario'[Nome Cenario']]]=Tabela5[[#Headers],[Realizado]],Tabela5[[#This Row],['[Valores_cenario']]],0)</f>
        <v>0</v>
      </c>
    </row>
    <row r="169" hidden="1" spans="1:16">
      <c r="A169" t="s">
        <v>17</v>
      </c>
      <c r="B169" t="s">
        <v>18</v>
      </c>
      <c r="C169" t="s">
        <v>19</v>
      </c>
      <c r="D169" t="s">
        <v>14</v>
      </c>
      <c r="E169">
        <v>2022</v>
      </c>
      <c r="F169" t="s">
        <v>21</v>
      </c>
      <c r="G169" t="s">
        <v>32</v>
      </c>
      <c r="H169">
        <v>12</v>
      </c>
      <c r="I169">
        <v>81300</v>
      </c>
      <c r="J169" t="s">
        <v>23</v>
      </c>
      <c r="K169" s="3"/>
      <c r="N169" s="6">
        <f>IF(Tabela5[[#This Row],[Dim_Cenario'[Nome Cenario']]]=Tabela5[[#Headers],[INIC Atual]],Tabela5[[#This Row],['[Valores_cenario']]],0)</f>
        <v>0</v>
      </c>
      <c r="O169" s="6">
        <f>IF(Tabela5[[#This Row],[Dim_Cenario'[Nome Cenario']]]=Tabela5[[#Headers],[Revisado]],Tabela5[[#This Row],['[Valores_cenario']]],0)</f>
        <v>81300</v>
      </c>
      <c r="P169" s="6">
        <f>IF(Tabela5[[#This Row],[Dim_Cenario'[Nome Cenario']]]=Tabela5[[#Headers],[Realizado]],Tabela5[[#This Row],['[Valores_cenario']]],0)</f>
        <v>0</v>
      </c>
    </row>
    <row r="170" hidden="1" spans="1:16">
      <c r="A170" t="s">
        <v>17</v>
      </c>
      <c r="B170" t="s">
        <v>18</v>
      </c>
      <c r="C170" t="s">
        <v>19</v>
      </c>
      <c r="D170" t="s">
        <v>14</v>
      </c>
      <c r="E170">
        <v>2023</v>
      </c>
      <c r="F170" t="s">
        <v>25</v>
      </c>
      <c r="G170" t="s">
        <v>35</v>
      </c>
      <c r="H170">
        <v>1</v>
      </c>
      <c r="I170">
        <v>39000</v>
      </c>
      <c r="J170" t="s">
        <v>23</v>
      </c>
      <c r="K170" s="3"/>
      <c r="N170" s="6">
        <f>IF(Tabela5[[#This Row],[Dim_Cenario'[Nome Cenario']]]=Tabela5[[#Headers],[INIC Atual]],Tabela5[[#This Row],['[Valores_cenario']]],0)</f>
        <v>0</v>
      </c>
      <c r="O170" s="6">
        <f>IF(Tabela5[[#This Row],[Dim_Cenario'[Nome Cenario']]]=Tabela5[[#Headers],[Revisado]],Tabela5[[#This Row],['[Valores_cenario']]],0)</f>
        <v>39000</v>
      </c>
      <c r="P170" s="6">
        <f>IF(Tabela5[[#This Row],[Dim_Cenario'[Nome Cenario']]]=Tabela5[[#Headers],[Realizado]],Tabela5[[#This Row],['[Valores_cenario']]],0)</f>
        <v>0</v>
      </c>
    </row>
    <row r="171" hidden="1" spans="1:16">
      <c r="A171" t="s">
        <v>17</v>
      </c>
      <c r="B171" t="s">
        <v>18</v>
      </c>
      <c r="C171" t="s">
        <v>19</v>
      </c>
      <c r="D171" t="s">
        <v>14</v>
      </c>
      <c r="E171">
        <v>2023</v>
      </c>
      <c r="F171" t="s">
        <v>25</v>
      </c>
      <c r="G171" t="s">
        <v>26</v>
      </c>
      <c r="H171">
        <v>2</v>
      </c>
      <c r="I171">
        <v>30000</v>
      </c>
      <c r="J171" t="s">
        <v>23</v>
      </c>
      <c r="K171" s="3"/>
      <c r="N171" s="6">
        <f>IF(Tabela5[[#This Row],[Dim_Cenario'[Nome Cenario']]]=Tabela5[[#Headers],[INIC Atual]],Tabela5[[#This Row],['[Valores_cenario']]],0)</f>
        <v>0</v>
      </c>
      <c r="O171" s="6">
        <f>IF(Tabela5[[#This Row],[Dim_Cenario'[Nome Cenario']]]=Tabela5[[#Headers],[Revisado]],Tabela5[[#This Row],['[Valores_cenario']]],0)</f>
        <v>30000</v>
      </c>
      <c r="P171" s="6">
        <f>IF(Tabela5[[#This Row],[Dim_Cenario'[Nome Cenario']]]=Tabela5[[#Headers],[Realizado]],Tabela5[[#This Row],['[Valores_cenario']]],0)</f>
        <v>0</v>
      </c>
    </row>
    <row r="172" hidden="1" spans="1:16">
      <c r="A172" t="s">
        <v>17</v>
      </c>
      <c r="B172" t="s">
        <v>18</v>
      </c>
      <c r="C172" t="s">
        <v>19</v>
      </c>
      <c r="D172" t="s">
        <v>14</v>
      </c>
      <c r="E172">
        <v>2023</v>
      </c>
      <c r="F172" t="s">
        <v>27</v>
      </c>
      <c r="G172" t="s">
        <v>39</v>
      </c>
      <c r="H172">
        <v>5</v>
      </c>
      <c r="I172">
        <v>105000</v>
      </c>
      <c r="J172" t="s">
        <v>23</v>
      </c>
      <c r="K172" s="3"/>
      <c r="N172" s="6">
        <f>IF(Tabela5[[#This Row],[Dim_Cenario'[Nome Cenario']]]=Tabela5[[#Headers],[INIC Atual]],Tabela5[[#This Row],['[Valores_cenario']]],0)</f>
        <v>0</v>
      </c>
      <c r="O172" s="6">
        <f>IF(Tabela5[[#This Row],[Dim_Cenario'[Nome Cenario']]]=Tabela5[[#Headers],[Revisado]],Tabela5[[#This Row],['[Valores_cenario']]],0)</f>
        <v>105000</v>
      </c>
      <c r="P172" s="6">
        <f>IF(Tabela5[[#This Row],[Dim_Cenario'[Nome Cenario']]]=Tabela5[[#Headers],[Realizado]],Tabela5[[#This Row],['[Valores_cenario']]],0)</f>
        <v>0</v>
      </c>
    </row>
    <row r="173" hidden="1" spans="1:16">
      <c r="A173" t="s">
        <v>17</v>
      </c>
      <c r="B173" t="s">
        <v>18</v>
      </c>
      <c r="C173" t="s">
        <v>19</v>
      </c>
      <c r="D173" t="s">
        <v>14</v>
      </c>
      <c r="E173">
        <v>2023</v>
      </c>
      <c r="F173" t="s">
        <v>30</v>
      </c>
      <c r="G173" t="s">
        <v>40</v>
      </c>
      <c r="H173">
        <v>7</v>
      </c>
      <c r="I173">
        <v>18000</v>
      </c>
      <c r="J173" t="s">
        <v>23</v>
      </c>
      <c r="K173" s="3"/>
      <c r="N173" s="6">
        <f>IF(Tabela5[[#This Row],[Dim_Cenario'[Nome Cenario']]]=Tabela5[[#Headers],[INIC Atual]],Tabela5[[#This Row],['[Valores_cenario']]],0)</f>
        <v>0</v>
      </c>
      <c r="O173" s="6">
        <f>IF(Tabela5[[#This Row],[Dim_Cenario'[Nome Cenario']]]=Tabela5[[#Headers],[Revisado]],Tabela5[[#This Row],['[Valores_cenario']]],0)</f>
        <v>18000</v>
      </c>
      <c r="P173" s="6">
        <f>IF(Tabela5[[#This Row],[Dim_Cenario'[Nome Cenario']]]=Tabela5[[#Headers],[Realizado]],Tabela5[[#This Row],['[Valores_cenario']]],0)</f>
        <v>0</v>
      </c>
    </row>
    <row r="174" hidden="1" spans="1:16">
      <c r="A174" t="s">
        <v>17</v>
      </c>
      <c r="B174" t="s">
        <v>18</v>
      </c>
      <c r="C174" t="s">
        <v>19</v>
      </c>
      <c r="D174" t="s">
        <v>14</v>
      </c>
      <c r="E174">
        <v>2023</v>
      </c>
      <c r="F174" t="s">
        <v>21</v>
      </c>
      <c r="G174" t="s">
        <v>22</v>
      </c>
      <c r="H174">
        <v>10</v>
      </c>
      <c r="I174">
        <v>75810</v>
      </c>
      <c r="J174" t="s">
        <v>23</v>
      </c>
      <c r="K174" s="3"/>
      <c r="N174" s="6">
        <f>IF(Tabela5[[#This Row],[Dim_Cenario'[Nome Cenario']]]=Tabela5[[#Headers],[INIC Atual]],Tabela5[[#This Row],['[Valores_cenario']]],0)</f>
        <v>0</v>
      </c>
      <c r="O174" s="6">
        <f>IF(Tabela5[[#This Row],[Dim_Cenario'[Nome Cenario']]]=Tabela5[[#Headers],[Revisado]],Tabela5[[#This Row],['[Valores_cenario']]],0)</f>
        <v>75810</v>
      </c>
      <c r="P174" s="6">
        <f>IF(Tabela5[[#This Row],[Dim_Cenario'[Nome Cenario']]]=Tabela5[[#Headers],[Realizado]],Tabela5[[#This Row],['[Valores_cenario']]],0)</f>
        <v>0</v>
      </c>
    </row>
    <row r="175" hidden="1" spans="1:16">
      <c r="A175" t="s">
        <v>17</v>
      </c>
      <c r="B175" t="s">
        <v>18</v>
      </c>
      <c r="C175" t="s">
        <v>19</v>
      </c>
      <c r="D175" t="s">
        <v>14</v>
      </c>
      <c r="E175">
        <v>2024</v>
      </c>
      <c r="F175" t="s">
        <v>25</v>
      </c>
      <c r="G175" t="s">
        <v>35</v>
      </c>
      <c r="H175">
        <v>1</v>
      </c>
      <c r="I175">
        <v>21660</v>
      </c>
      <c r="J175" t="s">
        <v>23</v>
      </c>
      <c r="K175" s="3"/>
      <c r="N175" s="6">
        <f>IF(Tabela5[[#This Row],[Dim_Cenario'[Nome Cenario']]]=Tabela5[[#Headers],[INIC Atual]],Tabela5[[#This Row],['[Valores_cenario']]],0)</f>
        <v>0</v>
      </c>
      <c r="O175" s="6">
        <f>IF(Tabela5[[#This Row],[Dim_Cenario'[Nome Cenario']]]=Tabela5[[#Headers],[Revisado]],Tabela5[[#This Row],['[Valores_cenario']]],0)</f>
        <v>21660</v>
      </c>
      <c r="P175" s="6">
        <f>IF(Tabela5[[#This Row],[Dim_Cenario'[Nome Cenario']]]=Tabela5[[#Headers],[Realizado]],Tabela5[[#This Row],['[Valores_cenario']]],0)</f>
        <v>0</v>
      </c>
    </row>
    <row r="176" hidden="1" spans="1:16">
      <c r="A176" t="s">
        <v>17</v>
      </c>
      <c r="B176" t="s">
        <v>18</v>
      </c>
      <c r="C176" t="s">
        <v>19</v>
      </c>
      <c r="D176" t="s">
        <v>14</v>
      </c>
      <c r="E176">
        <v>2024</v>
      </c>
      <c r="F176" t="s">
        <v>25</v>
      </c>
      <c r="G176" t="s">
        <v>38</v>
      </c>
      <c r="H176">
        <v>3</v>
      </c>
      <c r="I176">
        <v>10830</v>
      </c>
      <c r="J176" t="s">
        <v>23</v>
      </c>
      <c r="K176" s="3"/>
      <c r="N176" s="6">
        <f>IF(Tabela5[[#This Row],[Dim_Cenario'[Nome Cenario']]]=Tabela5[[#Headers],[INIC Atual]],Tabela5[[#This Row],['[Valores_cenario']]],0)</f>
        <v>0</v>
      </c>
      <c r="O176" s="6">
        <f>IF(Tabela5[[#This Row],[Dim_Cenario'[Nome Cenario']]]=Tabela5[[#Headers],[Revisado]],Tabela5[[#This Row],['[Valores_cenario']]],0)</f>
        <v>10830</v>
      </c>
      <c r="P176" s="6">
        <f>IF(Tabela5[[#This Row],[Dim_Cenario'[Nome Cenario']]]=Tabela5[[#Headers],[Realizado]],Tabela5[[#This Row],['[Valores_cenario']]],0)</f>
        <v>0</v>
      </c>
    </row>
    <row r="177" hidden="1" spans="1:16">
      <c r="A177" t="s">
        <v>17</v>
      </c>
      <c r="B177" t="s">
        <v>18</v>
      </c>
      <c r="C177" t="s">
        <v>19</v>
      </c>
      <c r="D177" t="s">
        <v>14</v>
      </c>
      <c r="E177">
        <v>2024</v>
      </c>
      <c r="F177" t="s">
        <v>21</v>
      </c>
      <c r="G177" t="s">
        <v>22</v>
      </c>
      <c r="H177">
        <v>10</v>
      </c>
      <c r="I177">
        <v>100000</v>
      </c>
      <c r="J177" t="s">
        <v>23</v>
      </c>
      <c r="K177" s="3"/>
      <c r="N177" s="6">
        <f>IF(Tabela5[[#This Row],[Dim_Cenario'[Nome Cenario']]]=Tabela5[[#Headers],[INIC Atual]],Tabela5[[#This Row],['[Valores_cenario']]],0)</f>
        <v>0</v>
      </c>
      <c r="O177" s="6">
        <f>IF(Tabela5[[#This Row],[Dim_Cenario'[Nome Cenario']]]=Tabela5[[#Headers],[Revisado]],Tabela5[[#This Row],['[Valores_cenario']]],0)</f>
        <v>100000</v>
      </c>
      <c r="P177" s="6">
        <f>IF(Tabela5[[#This Row],[Dim_Cenario'[Nome Cenario']]]=Tabela5[[#Headers],[Realizado]],Tabela5[[#This Row],['[Valores_cenario']]],0)</f>
        <v>0</v>
      </c>
    </row>
    <row r="178" hidden="1" spans="1:16">
      <c r="A178" t="s">
        <v>17</v>
      </c>
      <c r="B178" t="s">
        <v>18</v>
      </c>
      <c r="C178" t="s">
        <v>19</v>
      </c>
      <c r="D178" t="s">
        <v>14</v>
      </c>
      <c r="E178">
        <v>2024</v>
      </c>
      <c r="F178" t="s">
        <v>21</v>
      </c>
      <c r="G178" t="s">
        <v>32</v>
      </c>
      <c r="H178">
        <v>12</v>
      </c>
      <c r="I178">
        <v>22730</v>
      </c>
      <c r="J178" t="s">
        <v>23</v>
      </c>
      <c r="K178" s="3"/>
      <c r="N178" s="6">
        <f>IF(Tabela5[[#This Row],[Dim_Cenario'[Nome Cenario']]]=Tabela5[[#Headers],[INIC Atual]],Tabela5[[#This Row],['[Valores_cenario']]],0)</f>
        <v>0</v>
      </c>
      <c r="O178" s="6">
        <f>IF(Tabela5[[#This Row],[Dim_Cenario'[Nome Cenario']]]=Tabela5[[#Headers],[Revisado]],Tabela5[[#This Row],['[Valores_cenario']]],0)</f>
        <v>22730</v>
      </c>
      <c r="P178" s="6">
        <f>IF(Tabela5[[#This Row],[Dim_Cenario'[Nome Cenario']]]=Tabela5[[#Headers],[Realizado]],Tabela5[[#This Row],['[Valores_cenario']]],0)</f>
        <v>0</v>
      </c>
    </row>
    <row r="179" hidden="1" spans="1:16">
      <c r="A179" t="s">
        <v>17</v>
      </c>
      <c r="B179" t="s">
        <v>18</v>
      </c>
      <c r="C179" t="s">
        <v>19</v>
      </c>
      <c r="D179" t="s">
        <v>14</v>
      </c>
      <c r="E179">
        <v>2025</v>
      </c>
      <c r="F179" t="s">
        <v>25</v>
      </c>
      <c r="G179" t="s">
        <v>38</v>
      </c>
      <c r="H179">
        <v>3</v>
      </c>
      <c r="I179">
        <v>53850</v>
      </c>
      <c r="J179" t="s">
        <v>33</v>
      </c>
      <c r="K179" s="3"/>
      <c r="N179" s="6">
        <f>IF(Tabela5[[#This Row],[Dim_Cenario'[Nome Cenario']]]=Tabela5[[#Headers],[INIC Atual]],Tabela5[[#This Row],['[Valores_cenario']]],0)</f>
        <v>0</v>
      </c>
      <c r="O179" s="6">
        <f>IF(Tabela5[[#This Row],[Dim_Cenario'[Nome Cenario']]]=Tabela5[[#Headers],[Revisado]],Tabela5[[#This Row],['[Valores_cenario']]],0)</f>
        <v>53850</v>
      </c>
      <c r="P179" s="6">
        <f>IF(Tabela5[[#This Row],[Dim_Cenario'[Nome Cenario']]]=Tabela5[[#Headers],[Realizado]],Tabela5[[#This Row],['[Valores_cenario']]],0)</f>
        <v>0</v>
      </c>
    </row>
    <row r="180" hidden="1" spans="1:16">
      <c r="A180" t="s">
        <v>17</v>
      </c>
      <c r="B180" t="s">
        <v>18</v>
      </c>
      <c r="C180" t="s">
        <v>19</v>
      </c>
      <c r="D180" t="s">
        <v>14</v>
      </c>
      <c r="E180">
        <v>2025</v>
      </c>
      <c r="F180" t="s">
        <v>30</v>
      </c>
      <c r="G180" t="s">
        <v>31</v>
      </c>
      <c r="H180">
        <v>8</v>
      </c>
      <c r="I180">
        <v>141016.16</v>
      </c>
      <c r="J180" t="s">
        <v>33</v>
      </c>
      <c r="K180" s="3"/>
      <c r="N180" s="6">
        <f>IF(Tabela5[[#This Row],[Dim_Cenario'[Nome Cenario']]]=Tabela5[[#Headers],[INIC Atual]],Tabela5[[#This Row],['[Valores_cenario']]],0)</f>
        <v>0</v>
      </c>
      <c r="O180" s="6">
        <f>IF(Tabela5[[#This Row],[Dim_Cenario'[Nome Cenario']]]=Tabela5[[#Headers],[Revisado]],Tabela5[[#This Row],['[Valores_cenario']]],0)</f>
        <v>141016.16</v>
      </c>
      <c r="P180" s="6">
        <f>IF(Tabela5[[#This Row],[Dim_Cenario'[Nome Cenario']]]=Tabela5[[#Headers],[Realizado]],Tabela5[[#This Row],['[Valores_cenario']]],0)</f>
        <v>0</v>
      </c>
    </row>
    <row r="181" hidden="1" spans="1:16">
      <c r="A181" t="s">
        <v>17</v>
      </c>
      <c r="B181" t="s">
        <v>18</v>
      </c>
      <c r="C181" t="s">
        <v>19</v>
      </c>
      <c r="D181" t="s">
        <v>14</v>
      </c>
      <c r="E181">
        <v>2025</v>
      </c>
      <c r="F181" t="s">
        <v>21</v>
      </c>
      <c r="G181" t="s">
        <v>22</v>
      </c>
      <c r="H181">
        <v>10</v>
      </c>
      <c r="I181">
        <v>70508.08</v>
      </c>
      <c r="J181" t="s">
        <v>33</v>
      </c>
      <c r="K181" s="3"/>
      <c r="N181" s="6">
        <f>IF(Tabela5[[#This Row],[Dim_Cenario'[Nome Cenario']]]=Tabela5[[#Headers],[INIC Atual]],Tabela5[[#This Row],['[Valores_cenario']]],0)</f>
        <v>0</v>
      </c>
      <c r="O181" s="6">
        <f>IF(Tabela5[[#This Row],[Dim_Cenario'[Nome Cenario']]]=Tabela5[[#Headers],[Revisado]],Tabela5[[#This Row],['[Valores_cenario']]],0)</f>
        <v>70508.08</v>
      </c>
      <c r="P181" s="6">
        <f>IF(Tabela5[[#This Row],[Dim_Cenario'[Nome Cenario']]]=Tabela5[[#Headers],[Realizado]],Tabela5[[#This Row],['[Valores_cenario']]],0)</f>
        <v>0</v>
      </c>
    </row>
    <row r="182" hidden="1" spans="1:16">
      <c r="A182" t="s">
        <v>17</v>
      </c>
      <c r="B182" t="s">
        <v>18</v>
      </c>
      <c r="C182" t="s">
        <v>19</v>
      </c>
      <c r="D182" t="s">
        <v>14</v>
      </c>
      <c r="E182">
        <v>2025</v>
      </c>
      <c r="F182" t="s">
        <v>21</v>
      </c>
      <c r="G182" t="s">
        <v>32</v>
      </c>
      <c r="H182">
        <v>12</v>
      </c>
      <c r="I182">
        <v>41166.16</v>
      </c>
      <c r="J182" t="s">
        <v>33</v>
      </c>
      <c r="K182" s="3"/>
      <c r="N182" s="6">
        <f>IF(Tabela5[[#This Row],[Dim_Cenario'[Nome Cenario']]]=Tabela5[[#Headers],[INIC Atual]],Tabela5[[#This Row],['[Valores_cenario']]],0)</f>
        <v>0</v>
      </c>
      <c r="O182" s="6">
        <f>IF(Tabela5[[#This Row],[Dim_Cenario'[Nome Cenario']]]=Tabela5[[#Headers],[Revisado]],Tabela5[[#This Row],['[Valores_cenario']]],0)</f>
        <v>41166.16</v>
      </c>
      <c r="P182" s="6">
        <f>IF(Tabela5[[#This Row],[Dim_Cenario'[Nome Cenario']]]=Tabela5[[#Headers],[Realizado]],Tabela5[[#This Row],['[Valores_cenario']]],0)</f>
        <v>0</v>
      </c>
    </row>
    <row r="183" hidden="1" spans="1:16">
      <c r="A183" t="s">
        <v>17</v>
      </c>
      <c r="B183" t="s">
        <v>18</v>
      </c>
      <c r="C183" t="s">
        <v>19</v>
      </c>
      <c r="D183" t="s">
        <v>14</v>
      </c>
      <c r="E183">
        <v>2026</v>
      </c>
      <c r="F183" t="s">
        <v>25</v>
      </c>
      <c r="G183" t="s">
        <v>26</v>
      </c>
      <c r="H183">
        <v>2</v>
      </c>
      <c r="I183">
        <v>27070.8</v>
      </c>
      <c r="J183" t="s">
        <v>33</v>
      </c>
      <c r="K183" s="3"/>
      <c r="N183" s="6">
        <f>IF(Tabela5[[#This Row],[Dim_Cenario'[Nome Cenario']]]=Tabela5[[#Headers],[INIC Atual]],Tabela5[[#This Row],['[Valores_cenario']]],0)</f>
        <v>0</v>
      </c>
      <c r="O183" s="6">
        <f>IF(Tabela5[[#This Row],[Dim_Cenario'[Nome Cenario']]]=Tabela5[[#Headers],[Revisado]],Tabela5[[#This Row],['[Valores_cenario']]],0)</f>
        <v>27070.8</v>
      </c>
      <c r="P183" s="6">
        <f>IF(Tabela5[[#This Row],[Dim_Cenario'[Nome Cenario']]]=Tabela5[[#Headers],[Realizado]],Tabela5[[#This Row],['[Valores_cenario']]],0)</f>
        <v>0</v>
      </c>
    </row>
    <row r="184" hidden="1" spans="1:16">
      <c r="A184" t="s">
        <v>17</v>
      </c>
      <c r="B184" t="s">
        <v>18</v>
      </c>
      <c r="C184" t="s">
        <v>19</v>
      </c>
      <c r="D184" t="s">
        <v>14</v>
      </c>
      <c r="E184">
        <v>2026</v>
      </c>
      <c r="F184" t="s">
        <v>27</v>
      </c>
      <c r="G184" t="s">
        <v>28</v>
      </c>
      <c r="H184">
        <v>4</v>
      </c>
      <c r="I184">
        <v>27070.8</v>
      </c>
      <c r="J184" t="s">
        <v>33</v>
      </c>
      <c r="K184" s="3"/>
      <c r="N184" s="6">
        <f>IF(Tabela5[[#This Row],[Dim_Cenario'[Nome Cenario']]]=Tabela5[[#Headers],[INIC Atual]],Tabela5[[#This Row],['[Valores_cenario']]],0)</f>
        <v>0</v>
      </c>
      <c r="O184" s="6">
        <f>IF(Tabela5[[#This Row],[Dim_Cenario'[Nome Cenario']]]=Tabela5[[#Headers],[Revisado]],Tabela5[[#This Row],['[Valores_cenario']]],0)</f>
        <v>27070.8</v>
      </c>
      <c r="P184" s="6">
        <f>IF(Tabela5[[#This Row],[Dim_Cenario'[Nome Cenario']]]=Tabela5[[#Headers],[Realizado]],Tabela5[[#This Row],['[Valores_cenario']]],0)</f>
        <v>0</v>
      </c>
    </row>
    <row r="185" hidden="1" spans="1:16">
      <c r="A185" t="s">
        <v>17</v>
      </c>
      <c r="B185" t="s">
        <v>18</v>
      </c>
      <c r="C185" t="s">
        <v>19</v>
      </c>
      <c r="D185" t="s">
        <v>14</v>
      </c>
      <c r="E185">
        <v>2026</v>
      </c>
      <c r="F185" t="s">
        <v>27</v>
      </c>
      <c r="G185" t="s">
        <v>29</v>
      </c>
      <c r="H185">
        <v>6</v>
      </c>
      <c r="I185">
        <v>27070.8</v>
      </c>
      <c r="J185" t="s">
        <v>33</v>
      </c>
      <c r="K185" s="3"/>
      <c r="N185" s="6">
        <f>IF(Tabela5[[#This Row],[Dim_Cenario'[Nome Cenario']]]=Tabela5[[#Headers],[INIC Atual]],Tabela5[[#This Row],['[Valores_cenario']]],0)</f>
        <v>0</v>
      </c>
      <c r="O185" s="6">
        <f>IF(Tabela5[[#This Row],[Dim_Cenario'[Nome Cenario']]]=Tabela5[[#Headers],[Revisado]],Tabela5[[#This Row],['[Valores_cenario']]],0)</f>
        <v>27070.8</v>
      </c>
      <c r="P185" s="6">
        <f>IF(Tabela5[[#This Row],[Dim_Cenario'[Nome Cenario']]]=Tabela5[[#Headers],[Realizado]],Tabela5[[#This Row],['[Valores_cenario']]],0)</f>
        <v>0</v>
      </c>
    </row>
    <row r="186" hidden="1" spans="1:16">
      <c r="A186" t="s">
        <v>17</v>
      </c>
      <c r="B186" t="s">
        <v>18</v>
      </c>
      <c r="C186" t="s">
        <v>19</v>
      </c>
      <c r="D186" t="s">
        <v>14</v>
      </c>
      <c r="E186">
        <v>2026</v>
      </c>
      <c r="F186" t="s">
        <v>30</v>
      </c>
      <c r="G186" t="s">
        <v>31</v>
      </c>
      <c r="H186">
        <v>8</v>
      </c>
      <c r="I186">
        <v>27070.8</v>
      </c>
      <c r="J186" t="s">
        <v>33</v>
      </c>
      <c r="K186" s="3"/>
      <c r="N186" s="6">
        <f>IF(Tabela5[[#This Row],[Dim_Cenario'[Nome Cenario']]]=Tabela5[[#Headers],[INIC Atual]],Tabela5[[#This Row],['[Valores_cenario']]],0)</f>
        <v>0</v>
      </c>
      <c r="O186" s="6">
        <f>IF(Tabela5[[#This Row],[Dim_Cenario'[Nome Cenario']]]=Tabela5[[#Headers],[Revisado]],Tabela5[[#This Row],['[Valores_cenario']]],0)</f>
        <v>27070.8</v>
      </c>
      <c r="P186" s="6">
        <f>IF(Tabela5[[#This Row],[Dim_Cenario'[Nome Cenario']]]=Tabela5[[#Headers],[Realizado]],Tabela5[[#This Row],['[Valores_cenario']]],0)</f>
        <v>0</v>
      </c>
    </row>
    <row r="187" hidden="1" spans="1:16">
      <c r="A187" t="s">
        <v>17</v>
      </c>
      <c r="B187" t="s">
        <v>18</v>
      </c>
      <c r="C187" t="s">
        <v>19</v>
      </c>
      <c r="D187" t="s">
        <v>14</v>
      </c>
      <c r="E187">
        <v>2026</v>
      </c>
      <c r="F187" t="s">
        <v>21</v>
      </c>
      <c r="G187" t="s">
        <v>22</v>
      </c>
      <c r="H187">
        <v>10</v>
      </c>
      <c r="I187">
        <v>27070.8</v>
      </c>
      <c r="J187" t="s">
        <v>33</v>
      </c>
      <c r="K187" s="3"/>
      <c r="N187" s="6">
        <f>IF(Tabela5[[#This Row],[Dim_Cenario'[Nome Cenario']]]=Tabela5[[#Headers],[INIC Atual]],Tabela5[[#This Row],['[Valores_cenario']]],0)</f>
        <v>0</v>
      </c>
      <c r="O187" s="6">
        <f>IF(Tabela5[[#This Row],[Dim_Cenario'[Nome Cenario']]]=Tabela5[[#Headers],[Revisado]],Tabela5[[#This Row],['[Valores_cenario']]],0)</f>
        <v>27070.8</v>
      </c>
      <c r="P187" s="6">
        <f>IF(Tabela5[[#This Row],[Dim_Cenario'[Nome Cenario']]]=Tabela5[[#Headers],[Realizado]],Tabela5[[#This Row],['[Valores_cenario']]],0)</f>
        <v>0</v>
      </c>
    </row>
    <row r="188" hidden="1" spans="1:16">
      <c r="A188" t="s">
        <v>17</v>
      </c>
      <c r="B188" t="s">
        <v>18</v>
      </c>
      <c r="C188" t="s">
        <v>19</v>
      </c>
      <c r="D188" t="s">
        <v>14</v>
      </c>
      <c r="E188">
        <v>2026</v>
      </c>
      <c r="F188" t="s">
        <v>21</v>
      </c>
      <c r="G188" t="s">
        <v>32</v>
      </c>
      <c r="H188">
        <v>12</v>
      </c>
      <c r="I188">
        <v>23070.8</v>
      </c>
      <c r="J188" t="s">
        <v>33</v>
      </c>
      <c r="K188" s="3"/>
      <c r="N188" s="6">
        <f>IF(Tabela5[[#This Row],[Dim_Cenario'[Nome Cenario']]]=Tabela5[[#Headers],[INIC Atual]],Tabela5[[#This Row],['[Valores_cenario']]],0)</f>
        <v>0</v>
      </c>
      <c r="O188" s="6">
        <f>IF(Tabela5[[#This Row],[Dim_Cenario'[Nome Cenario']]]=Tabela5[[#Headers],[Revisado]],Tabela5[[#This Row],['[Valores_cenario']]],0)</f>
        <v>23070.8</v>
      </c>
      <c r="P188" s="6">
        <f>IF(Tabela5[[#This Row],[Dim_Cenario'[Nome Cenario']]]=Tabela5[[#Headers],[Realizado]],Tabela5[[#This Row],['[Valores_cenario']]],0)</f>
        <v>0</v>
      </c>
    </row>
    <row r="189" hidden="1" spans="1:16">
      <c r="A189" t="s">
        <v>17</v>
      </c>
      <c r="B189" t="s">
        <v>18</v>
      </c>
      <c r="C189" t="s">
        <v>19</v>
      </c>
      <c r="D189" t="s">
        <v>14</v>
      </c>
      <c r="E189">
        <v>2027</v>
      </c>
      <c r="F189" t="s">
        <v>25</v>
      </c>
      <c r="G189" t="s">
        <v>26</v>
      </c>
      <c r="H189">
        <v>2</v>
      </c>
      <c r="I189">
        <v>63088.39</v>
      </c>
      <c r="J189" t="s">
        <v>33</v>
      </c>
      <c r="K189" s="3"/>
      <c r="N189" s="6">
        <f>IF(Tabela5[[#This Row],[Dim_Cenario'[Nome Cenario']]]=Tabela5[[#Headers],[INIC Atual]],Tabela5[[#This Row],['[Valores_cenario']]],0)</f>
        <v>0</v>
      </c>
      <c r="O189" s="6">
        <f>IF(Tabela5[[#This Row],[Dim_Cenario'[Nome Cenario']]]=Tabela5[[#Headers],[Revisado]],Tabela5[[#This Row],['[Valores_cenario']]],0)</f>
        <v>63088.39</v>
      </c>
      <c r="P189" s="6">
        <f>IF(Tabela5[[#This Row],[Dim_Cenario'[Nome Cenario']]]=Tabela5[[#Headers],[Realizado]],Tabela5[[#This Row],['[Valores_cenario']]],0)</f>
        <v>0</v>
      </c>
    </row>
    <row r="190" hidden="1" spans="1:16">
      <c r="A190" t="s">
        <v>17</v>
      </c>
      <c r="B190" t="s">
        <v>18</v>
      </c>
      <c r="C190" t="s">
        <v>19</v>
      </c>
      <c r="D190" t="s">
        <v>14</v>
      </c>
      <c r="E190">
        <v>2027</v>
      </c>
      <c r="F190" t="s">
        <v>27</v>
      </c>
      <c r="G190" t="s">
        <v>28</v>
      </c>
      <c r="H190">
        <v>4</v>
      </c>
      <c r="I190">
        <v>63088.39</v>
      </c>
      <c r="J190" t="s">
        <v>33</v>
      </c>
      <c r="K190" s="3"/>
      <c r="N190" s="6">
        <f>IF(Tabela5[[#This Row],[Dim_Cenario'[Nome Cenario']]]=Tabela5[[#Headers],[INIC Atual]],Tabela5[[#This Row],['[Valores_cenario']]],0)</f>
        <v>0</v>
      </c>
      <c r="O190" s="6">
        <f>IF(Tabela5[[#This Row],[Dim_Cenario'[Nome Cenario']]]=Tabela5[[#Headers],[Revisado]],Tabela5[[#This Row],['[Valores_cenario']]],0)</f>
        <v>63088.39</v>
      </c>
      <c r="P190" s="6">
        <f>IF(Tabela5[[#This Row],[Dim_Cenario'[Nome Cenario']]]=Tabela5[[#Headers],[Realizado]],Tabela5[[#This Row],['[Valores_cenario']]],0)</f>
        <v>0</v>
      </c>
    </row>
    <row r="191" hidden="1" spans="1:16">
      <c r="A191" t="s">
        <v>17</v>
      </c>
      <c r="B191" t="s">
        <v>18</v>
      </c>
      <c r="C191" t="s">
        <v>19</v>
      </c>
      <c r="D191" t="s">
        <v>14</v>
      </c>
      <c r="E191">
        <v>2027</v>
      </c>
      <c r="F191" t="s">
        <v>27</v>
      </c>
      <c r="G191" t="s">
        <v>29</v>
      </c>
      <c r="H191">
        <v>6</v>
      </c>
      <c r="I191">
        <v>63088.39</v>
      </c>
      <c r="J191" t="s">
        <v>33</v>
      </c>
      <c r="K191" s="3"/>
      <c r="N191" s="6">
        <f>IF(Tabela5[[#This Row],[Dim_Cenario'[Nome Cenario']]]=Tabela5[[#Headers],[INIC Atual]],Tabela5[[#This Row],['[Valores_cenario']]],0)</f>
        <v>0</v>
      </c>
      <c r="O191" s="6">
        <f>IF(Tabela5[[#This Row],[Dim_Cenario'[Nome Cenario']]]=Tabela5[[#Headers],[Revisado]],Tabela5[[#This Row],['[Valores_cenario']]],0)</f>
        <v>63088.39</v>
      </c>
      <c r="P191" s="6">
        <f>IF(Tabela5[[#This Row],[Dim_Cenario'[Nome Cenario']]]=Tabela5[[#Headers],[Realizado]],Tabela5[[#This Row],['[Valores_cenario']]],0)</f>
        <v>0</v>
      </c>
    </row>
    <row r="192" hidden="1" spans="1:16">
      <c r="A192" t="s">
        <v>17</v>
      </c>
      <c r="B192" t="s">
        <v>18</v>
      </c>
      <c r="C192" t="s">
        <v>19</v>
      </c>
      <c r="D192" t="s">
        <v>14</v>
      </c>
      <c r="E192">
        <v>2027</v>
      </c>
      <c r="F192" t="s">
        <v>30</v>
      </c>
      <c r="G192" t="s">
        <v>31</v>
      </c>
      <c r="H192">
        <v>8</v>
      </c>
      <c r="I192">
        <v>63088.39</v>
      </c>
      <c r="J192" t="s">
        <v>33</v>
      </c>
      <c r="K192" s="3"/>
      <c r="N192" s="6">
        <f>IF(Tabela5[[#This Row],[Dim_Cenario'[Nome Cenario']]]=Tabela5[[#Headers],[INIC Atual]],Tabela5[[#This Row],['[Valores_cenario']]],0)</f>
        <v>0</v>
      </c>
      <c r="O192" s="6">
        <f>IF(Tabela5[[#This Row],[Dim_Cenario'[Nome Cenario']]]=Tabela5[[#Headers],[Revisado]],Tabela5[[#This Row],['[Valores_cenario']]],0)</f>
        <v>63088.39</v>
      </c>
      <c r="P192" s="6">
        <f>IF(Tabela5[[#This Row],[Dim_Cenario'[Nome Cenario']]]=Tabela5[[#Headers],[Realizado]],Tabela5[[#This Row],['[Valores_cenario']]],0)</f>
        <v>0</v>
      </c>
    </row>
    <row r="193" hidden="1" spans="1:16">
      <c r="A193" t="s">
        <v>17</v>
      </c>
      <c r="B193" t="s">
        <v>18</v>
      </c>
      <c r="C193" t="s">
        <v>19</v>
      </c>
      <c r="D193" t="s">
        <v>14</v>
      </c>
      <c r="E193">
        <v>2027</v>
      </c>
      <c r="F193" t="s">
        <v>21</v>
      </c>
      <c r="G193" t="s">
        <v>22</v>
      </c>
      <c r="H193">
        <v>10</v>
      </c>
      <c r="I193">
        <v>63088.39</v>
      </c>
      <c r="J193" t="s">
        <v>33</v>
      </c>
      <c r="K193" s="3"/>
      <c r="N193" s="6">
        <f>IF(Tabela5[[#This Row],[Dim_Cenario'[Nome Cenario']]]=Tabela5[[#Headers],[INIC Atual]],Tabela5[[#This Row],['[Valores_cenario']]],0)</f>
        <v>0</v>
      </c>
      <c r="O193" s="6">
        <f>IF(Tabela5[[#This Row],[Dim_Cenario'[Nome Cenario']]]=Tabela5[[#Headers],[Revisado]],Tabela5[[#This Row],['[Valores_cenario']]],0)</f>
        <v>63088.39</v>
      </c>
      <c r="P193" s="6">
        <f>IF(Tabela5[[#This Row],[Dim_Cenario'[Nome Cenario']]]=Tabela5[[#Headers],[Realizado]],Tabela5[[#This Row],['[Valores_cenario']]],0)</f>
        <v>0</v>
      </c>
    </row>
    <row r="194" hidden="1" spans="1:16">
      <c r="A194" t="s">
        <v>17</v>
      </c>
      <c r="B194" t="s">
        <v>18</v>
      </c>
      <c r="C194" t="s">
        <v>37</v>
      </c>
      <c r="D194" t="s">
        <v>14</v>
      </c>
      <c r="E194">
        <v>2020</v>
      </c>
      <c r="F194" t="s">
        <v>27</v>
      </c>
      <c r="G194" t="s">
        <v>28</v>
      </c>
      <c r="H194">
        <v>4</v>
      </c>
      <c r="I194">
        <v>71959.61</v>
      </c>
      <c r="J194" t="s">
        <v>36</v>
      </c>
      <c r="K194" s="3"/>
      <c r="N194" s="6">
        <f>IF(Tabela5[[#This Row],[Dim_Cenario'[Nome Cenario']]]=Tabela5[[#Headers],[INIC Atual]],Tabela5[[#This Row],['[Valores_cenario']]],0)</f>
        <v>0</v>
      </c>
      <c r="O194" s="6">
        <f>IF(Tabela5[[#This Row],[Dim_Cenario'[Nome Cenario']]]=Tabela5[[#Headers],[Revisado]],Tabela5[[#This Row],['[Valores_cenario']]],0)</f>
        <v>71959.61</v>
      </c>
      <c r="P194" s="6">
        <f>IF(Tabela5[[#This Row],[Dim_Cenario'[Nome Cenario']]]=Tabela5[[#Headers],[Realizado]],Tabela5[[#This Row],['[Valores_cenario']]],0)</f>
        <v>0</v>
      </c>
    </row>
    <row r="195" hidden="1" spans="1:16">
      <c r="A195" t="s">
        <v>17</v>
      </c>
      <c r="B195" t="s">
        <v>18</v>
      </c>
      <c r="C195" t="s">
        <v>37</v>
      </c>
      <c r="D195" t="s">
        <v>14</v>
      </c>
      <c r="E195">
        <v>2020</v>
      </c>
      <c r="F195" t="s">
        <v>27</v>
      </c>
      <c r="G195" t="s">
        <v>39</v>
      </c>
      <c r="H195">
        <v>5</v>
      </c>
      <c r="I195">
        <v>9914.48</v>
      </c>
      <c r="J195" t="s">
        <v>36</v>
      </c>
      <c r="K195" s="3"/>
      <c r="N195" s="6">
        <f>IF(Tabela5[[#This Row],[Dim_Cenario'[Nome Cenario']]]=Tabela5[[#Headers],[INIC Atual]],Tabela5[[#This Row],['[Valores_cenario']]],0)</f>
        <v>0</v>
      </c>
      <c r="O195" s="6">
        <f>IF(Tabela5[[#This Row],[Dim_Cenario'[Nome Cenario']]]=Tabela5[[#Headers],[Revisado]],Tabela5[[#This Row],['[Valores_cenario']]],0)</f>
        <v>9914.48</v>
      </c>
      <c r="P195" s="6">
        <f>IF(Tabela5[[#This Row],[Dim_Cenario'[Nome Cenario']]]=Tabela5[[#Headers],[Realizado]],Tabela5[[#This Row],['[Valores_cenario']]],0)</f>
        <v>0</v>
      </c>
    </row>
    <row r="196" hidden="1" spans="1:16">
      <c r="A196" t="s">
        <v>17</v>
      </c>
      <c r="B196" t="s">
        <v>18</v>
      </c>
      <c r="C196" t="s">
        <v>37</v>
      </c>
      <c r="D196" t="s">
        <v>14</v>
      </c>
      <c r="E196">
        <v>2020</v>
      </c>
      <c r="F196" t="s">
        <v>27</v>
      </c>
      <c r="G196" t="s">
        <v>29</v>
      </c>
      <c r="H196">
        <v>6</v>
      </c>
      <c r="I196">
        <v>18564.18</v>
      </c>
      <c r="J196" t="s">
        <v>36</v>
      </c>
      <c r="K196" s="3"/>
      <c r="N196" s="6">
        <f>IF(Tabela5[[#This Row],[Dim_Cenario'[Nome Cenario']]]=Tabela5[[#Headers],[INIC Atual]],Tabela5[[#This Row],['[Valores_cenario']]],0)</f>
        <v>0</v>
      </c>
      <c r="O196" s="6">
        <f>IF(Tabela5[[#This Row],[Dim_Cenario'[Nome Cenario']]]=Tabela5[[#Headers],[Revisado]],Tabela5[[#This Row],['[Valores_cenario']]],0)</f>
        <v>18564.18</v>
      </c>
      <c r="P196" s="6">
        <f>IF(Tabela5[[#This Row],[Dim_Cenario'[Nome Cenario']]]=Tabela5[[#Headers],[Realizado]],Tabela5[[#This Row],['[Valores_cenario']]],0)</f>
        <v>0</v>
      </c>
    </row>
    <row r="197" hidden="1" spans="1:16">
      <c r="A197" t="s">
        <v>17</v>
      </c>
      <c r="B197" t="s">
        <v>18</v>
      </c>
      <c r="C197" t="s">
        <v>37</v>
      </c>
      <c r="D197" t="s">
        <v>14</v>
      </c>
      <c r="E197">
        <v>2020</v>
      </c>
      <c r="F197" t="s">
        <v>30</v>
      </c>
      <c r="G197" t="s">
        <v>40</v>
      </c>
      <c r="H197">
        <v>7</v>
      </c>
      <c r="I197">
        <v>8181.01</v>
      </c>
      <c r="J197" t="s">
        <v>36</v>
      </c>
      <c r="K197" s="3"/>
      <c r="N197" s="6">
        <f>IF(Tabela5[[#This Row],[Dim_Cenario'[Nome Cenario']]]=Tabela5[[#Headers],[INIC Atual]],Tabela5[[#This Row],['[Valores_cenario']]],0)</f>
        <v>0</v>
      </c>
      <c r="O197" s="6">
        <f>IF(Tabela5[[#This Row],[Dim_Cenario'[Nome Cenario']]]=Tabela5[[#Headers],[Revisado]],Tabela5[[#This Row],['[Valores_cenario']]],0)</f>
        <v>8181.01</v>
      </c>
      <c r="P197" s="6">
        <f>IF(Tabela5[[#This Row],[Dim_Cenario'[Nome Cenario']]]=Tabela5[[#Headers],[Realizado]],Tabela5[[#This Row],['[Valores_cenario']]],0)</f>
        <v>0</v>
      </c>
    </row>
    <row r="198" hidden="1" spans="1:16">
      <c r="A198" t="s">
        <v>17</v>
      </c>
      <c r="B198" t="s">
        <v>18</v>
      </c>
      <c r="C198" t="s">
        <v>37</v>
      </c>
      <c r="D198" t="s">
        <v>14</v>
      </c>
      <c r="E198">
        <v>2020</v>
      </c>
      <c r="F198" t="s">
        <v>30</v>
      </c>
      <c r="G198" t="s">
        <v>31</v>
      </c>
      <c r="H198">
        <v>8</v>
      </c>
      <c r="I198">
        <v>8181.01</v>
      </c>
      <c r="J198" t="s">
        <v>36</v>
      </c>
      <c r="K198" s="3"/>
      <c r="N198" s="6">
        <f>IF(Tabela5[[#This Row],[Dim_Cenario'[Nome Cenario']]]=Tabela5[[#Headers],[INIC Atual]],Tabela5[[#This Row],['[Valores_cenario']]],0)</f>
        <v>0</v>
      </c>
      <c r="O198" s="6">
        <f>IF(Tabela5[[#This Row],[Dim_Cenario'[Nome Cenario']]]=Tabela5[[#Headers],[Revisado]],Tabela5[[#This Row],['[Valores_cenario']]],0)</f>
        <v>8181.01</v>
      </c>
      <c r="P198" s="6">
        <f>IF(Tabela5[[#This Row],[Dim_Cenario'[Nome Cenario']]]=Tabela5[[#Headers],[Realizado]],Tabela5[[#This Row],['[Valores_cenario']]],0)</f>
        <v>0</v>
      </c>
    </row>
    <row r="199" hidden="1" spans="1:16">
      <c r="A199" t="s">
        <v>17</v>
      </c>
      <c r="B199" t="s">
        <v>18</v>
      </c>
      <c r="C199" t="s">
        <v>37</v>
      </c>
      <c r="D199" t="s">
        <v>14</v>
      </c>
      <c r="E199">
        <v>2020</v>
      </c>
      <c r="F199" t="s">
        <v>30</v>
      </c>
      <c r="G199" t="s">
        <v>41</v>
      </c>
      <c r="H199">
        <v>9</v>
      </c>
      <c r="I199">
        <v>18564.18</v>
      </c>
      <c r="J199" t="s">
        <v>36</v>
      </c>
      <c r="K199" s="3"/>
      <c r="N199" s="6">
        <f>IF(Tabela5[[#This Row],[Dim_Cenario'[Nome Cenario']]]=Tabela5[[#Headers],[INIC Atual]],Tabela5[[#This Row],['[Valores_cenario']]],0)</f>
        <v>0</v>
      </c>
      <c r="O199" s="6">
        <f>IF(Tabela5[[#This Row],[Dim_Cenario'[Nome Cenario']]]=Tabela5[[#Headers],[Revisado]],Tabela5[[#This Row],['[Valores_cenario']]],0)</f>
        <v>18564.18</v>
      </c>
      <c r="P199" s="6">
        <f>IF(Tabela5[[#This Row],[Dim_Cenario'[Nome Cenario']]]=Tabela5[[#Headers],[Realizado]],Tabela5[[#This Row],['[Valores_cenario']]],0)</f>
        <v>0</v>
      </c>
    </row>
    <row r="200" hidden="1" spans="1:16">
      <c r="A200" t="s">
        <v>17</v>
      </c>
      <c r="B200" t="s">
        <v>18</v>
      </c>
      <c r="C200" t="s">
        <v>37</v>
      </c>
      <c r="D200" t="s">
        <v>14</v>
      </c>
      <c r="E200">
        <v>2020</v>
      </c>
      <c r="F200" t="s">
        <v>21</v>
      </c>
      <c r="G200" t="s">
        <v>22</v>
      </c>
      <c r="H200">
        <v>10</v>
      </c>
      <c r="I200">
        <v>4693.08</v>
      </c>
      <c r="J200" t="s">
        <v>36</v>
      </c>
      <c r="K200" s="3"/>
      <c r="N200" s="6">
        <f>IF(Tabela5[[#This Row],[Dim_Cenario'[Nome Cenario']]]=Tabela5[[#Headers],[INIC Atual]],Tabela5[[#This Row],['[Valores_cenario']]],0)</f>
        <v>0</v>
      </c>
      <c r="O200" s="6">
        <f>IF(Tabela5[[#This Row],[Dim_Cenario'[Nome Cenario']]]=Tabela5[[#Headers],[Revisado]],Tabela5[[#This Row],['[Valores_cenario']]],0)</f>
        <v>4693.08</v>
      </c>
      <c r="P200" s="6">
        <f>IF(Tabela5[[#This Row],[Dim_Cenario'[Nome Cenario']]]=Tabela5[[#Headers],[Realizado]],Tabela5[[#This Row],['[Valores_cenario']]],0)</f>
        <v>0</v>
      </c>
    </row>
    <row r="201" hidden="1" spans="1:16">
      <c r="A201" t="s">
        <v>17</v>
      </c>
      <c r="B201" t="s">
        <v>18</v>
      </c>
      <c r="C201" t="s">
        <v>37</v>
      </c>
      <c r="D201" t="s">
        <v>14</v>
      </c>
      <c r="E201">
        <v>2020</v>
      </c>
      <c r="F201" t="s">
        <v>21</v>
      </c>
      <c r="G201" t="s">
        <v>24</v>
      </c>
      <c r="H201">
        <v>11</v>
      </c>
      <c r="I201">
        <v>15564.18</v>
      </c>
      <c r="J201" t="s">
        <v>36</v>
      </c>
      <c r="K201" s="3"/>
      <c r="N201" s="6">
        <f>IF(Tabela5[[#This Row],[Dim_Cenario'[Nome Cenario']]]=Tabela5[[#Headers],[INIC Atual]],Tabela5[[#This Row],['[Valores_cenario']]],0)</f>
        <v>0</v>
      </c>
      <c r="O201" s="6">
        <f>IF(Tabela5[[#This Row],[Dim_Cenario'[Nome Cenario']]]=Tabela5[[#Headers],[Revisado]],Tabela5[[#This Row],['[Valores_cenario']]],0)</f>
        <v>15564.18</v>
      </c>
      <c r="P201" s="6">
        <f>IF(Tabela5[[#This Row],[Dim_Cenario'[Nome Cenario']]]=Tabela5[[#Headers],[Realizado]],Tabela5[[#This Row],['[Valores_cenario']]],0)</f>
        <v>0</v>
      </c>
    </row>
    <row r="202" hidden="1" spans="1:16">
      <c r="A202" t="s">
        <v>17</v>
      </c>
      <c r="B202" t="s">
        <v>18</v>
      </c>
      <c r="C202" t="s">
        <v>37</v>
      </c>
      <c r="D202" t="s">
        <v>14</v>
      </c>
      <c r="E202">
        <v>2020</v>
      </c>
      <c r="F202" t="s">
        <v>21</v>
      </c>
      <c r="G202" t="s">
        <v>32</v>
      </c>
      <c r="H202">
        <v>12</v>
      </c>
      <c r="I202">
        <v>8181.01</v>
      </c>
      <c r="J202" t="s">
        <v>36</v>
      </c>
      <c r="K202" s="3"/>
      <c r="N202" s="6">
        <f>IF(Tabela5[[#This Row],[Dim_Cenario'[Nome Cenario']]]=Tabela5[[#Headers],[INIC Atual]],Tabela5[[#This Row],['[Valores_cenario']]],0)</f>
        <v>0</v>
      </c>
      <c r="O202" s="6">
        <f>IF(Tabela5[[#This Row],[Dim_Cenario'[Nome Cenario']]]=Tabela5[[#Headers],[Revisado]],Tabela5[[#This Row],['[Valores_cenario']]],0)</f>
        <v>8181.01</v>
      </c>
      <c r="P202" s="6">
        <f>IF(Tabela5[[#This Row],[Dim_Cenario'[Nome Cenario']]]=Tabela5[[#Headers],[Realizado]],Tabela5[[#This Row],['[Valores_cenario']]],0)</f>
        <v>0</v>
      </c>
    </row>
    <row r="203" spans="1:16">
      <c r="A203" t="s">
        <v>17</v>
      </c>
      <c r="B203" t="s">
        <v>18</v>
      </c>
      <c r="C203" t="s">
        <v>37</v>
      </c>
      <c r="D203" t="s">
        <v>15</v>
      </c>
      <c r="E203">
        <v>2021</v>
      </c>
      <c r="F203" t="s">
        <v>21</v>
      </c>
      <c r="G203" t="s">
        <v>22</v>
      </c>
      <c r="H203">
        <v>10</v>
      </c>
      <c r="I203">
        <v>8839.5</v>
      </c>
      <c r="J203" t="s">
        <v>36</v>
      </c>
      <c r="K203" s="3">
        <v>44491</v>
      </c>
      <c r="L203" t="s">
        <v>100</v>
      </c>
      <c r="M203" t="s">
        <v>101</v>
      </c>
      <c r="N203" s="6">
        <f>IF(Tabela5[[#This Row],[Dim_Cenario'[Nome Cenario']]]=Tabela5[[#Headers],[INIC Atual]],Tabela5[[#This Row],['[Valores_cenario']]],0)</f>
        <v>0</v>
      </c>
      <c r="O203" s="6">
        <f>IF(Tabela5[[#This Row],[Dim_Cenario'[Nome Cenario']]]=Tabela5[[#Headers],[Revisado]],Tabela5[[#This Row],['[Valores_cenario']]],0)</f>
        <v>0</v>
      </c>
      <c r="P203" s="6">
        <f>IF(Tabela5[[#This Row],[Dim_Cenario'[Nome Cenario']]]=Tabela5[[#Headers],[Realizado]],Tabela5[[#This Row],['[Valores_cenario']]],0)</f>
        <v>8839.5</v>
      </c>
    </row>
    <row r="204" spans="1:16">
      <c r="A204" t="s">
        <v>17</v>
      </c>
      <c r="B204" t="s">
        <v>18</v>
      </c>
      <c r="C204" t="s">
        <v>37</v>
      </c>
      <c r="D204" t="s">
        <v>15</v>
      </c>
      <c r="E204">
        <v>2026</v>
      </c>
      <c r="F204" t="s">
        <v>25</v>
      </c>
      <c r="G204" t="s">
        <v>38</v>
      </c>
      <c r="H204">
        <v>3</v>
      </c>
      <c r="I204">
        <v>8736</v>
      </c>
      <c r="J204" t="s">
        <v>33</v>
      </c>
      <c r="K204" s="3">
        <v>46100</v>
      </c>
      <c r="L204" t="s">
        <v>102</v>
      </c>
      <c r="M204" t="s">
        <v>103</v>
      </c>
      <c r="N204" s="6">
        <f>IF(Tabela5[[#This Row],[Dim_Cenario'[Nome Cenario']]]=Tabela5[[#Headers],[INIC Atual]],Tabela5[[#This Row],['[Valores_cenario']]],0)</f>
        <v>0</v>
      </c>
      <c r="O204" s="6">
        <f>IF(Tabela5[[#This Row],[Dim_Cenario'[Nome Cenario']]]=Tabela5[[#Headers],[Revisado]],Tabela5[[#This Row],['[Valores_cenario']]],0)</f>
        <v>0</v>
      </c>
      <c r="P204" s="6">
        <f>IF(Tabela5[[#This Row],[Dim_Cenario'[Nome Cenario']]]=Tabela5[[#Headers],[Realizado]],Tabela5[[#This Row],['[Valores_cenario']]],0)</f>
        <v>8736</v>
      </c>
    </row>
    <row r="205" spans="1:16">
      <c r="A205" t="s">
        <v>17</v>
      </c>
      <c r="B205" t="s">
        <v>18</v>
      </c>
      <c r="C205" t="s">
        <v>37</v>
      </c>
      <c r="D205" t="s">
        <v>15</v>
      </c>
      <c r="E205">
        <v>2020</v>
      </c>
      <c r="F205" t="s">
        <v>25</v>
      </c>
      <c r="G205" t="s">
        <v>35</v>
      </c>
      <c r="H205">
        <v>1</v>
      </c>
      <c r="I205">
        <v>8425.3</v>
      </c>
      <c r="J205" t="s">
        <v>36</v>
      </c>
      <c r="K205" s="3">
        <v>43843</v>
      </c>
      <c r="L205" t="s">
        <v>48</v>
      </c>
      <c r="M205" t="s">
        <v>104</v>
      </c>
      <c r="N205" s="6">
        <f>IF(Tabela5[[#This Row],[Dim_Cenario'[Nome Cenario']]]=Tabela5[[#Headers],[INIC Atual]],Tabela5[[#This Row],['[Valores_cenario']]],0)</f>
        <v>0</v>
      </c>
      <c r="O205" s="6">
        <f>IF(Tabela5[[#This Row],[Dim_Cenario'[Nome Cenario']]]=Tabela5[[#Headers],[Revisado]],Tabela5[[#This Row],['[Valores_cenario']]],0)</f>
        <v>0</v>
      </c>
      <c r="P205" s="6">
        <f>IF(Tabela5[[#This Row],[Dim_Cenario'[Nome Cenario']]]=Tabela5[[#Headers],[Realizado]],Tabela5[[#This Row],['[Valores_cenario']]],0)</f>
        <v>8425.3</v>
      </c>
    </row>
    <row r="206" spans="1:16">
      <c r="A206" t="s">
        <v>17</v>
      </c>
      <c r="B206" t="s">
        <v>18</v>
      </c>
      <c r="C206" t="s">
        <v>37</v>
      </c>
      <c r="D206" t="s">
        <v>15</v>
      </c>
      <c r="E206">
        <v>2022</v>
      </c>
      <c r="F206" t="s">
        <v>25</v>
      </c>
      <c r="G206" t="s">
        <v>26</v>
      </c>
      <c r="H206">
        <v>2</v>
      </c>
      <c r="I206">
        <v>8250.2</v>
      </c>
      <c r="J206" t="s">
        <v>23</v>
      </c>
      <c r="K206" s="3">
        <v>44615</v>
      </c>
      <c r="L206" t="s">
        <v>52</v>
      </c>
      <c r="M206" t="s">
        <v>105</v>
      </c>
      <c r="N206" s="6">
        <f>IF(Tabela5[[#This Row],[Dim_Cenario'[Nome Cenario']]]=Tabela5[[#Headers],[INIC Atual]],Tabela5[[#This Row],['[Valores_cenario']]],0)</f>
        <v>0</v>
      </c>
      <c r="O206" s="6">
        <f>IF(Tabela5[[#This Row],[Dim_Cenario'[Nome Cenario']]]=Tabela5[[#Headers],[Revisado]],Tabela5[[#This Row],['[Valores_cenario']]],0)</f>
        <v>0</v>
      </c>
      <c r="P206" s="6">
        <f>IF(Tabela5[[#This Row],[Dim_Cenario'[Nome Cenario']]]=Tabela5[[#Headers],[Realizado]],Tabela5[[#This Row],['[Valores_cenario']]],0)</f>
        <v>8250.2</v>
      </c>
    </row>
    <row r="207" spans="1:16">
      <c r="A207" t="s">
        <v>17</v>
      </c>
      <c r="B207" t="s">
        <v>18</v>
      </c>
      <c r="C207" t="s">
        <v>37</v>
      </c>
      <c r="D207" t="s">
        <v>15</v>
      </c>
      <c r="E207">
        <v>2022</v>
      </c>
      <c r="F207" t="s">
        <v>27</v>
      </c>
      <c r="G207" t="s">
        <v>39</v>
      </c>
      <c r="H207">
        <v>5</v>
      </c>
      <c r="I207">
        <v>8000</v>
      </c>
      <c r="J207" t="s">
        <v>23</v>
      </c>
      <c r="K207" s="3">
        <v>44700</v>
      </c>
      <c r="L207" t="s">
        <v>106</v>
      </c>
      <c r="M207" t="s">
        <v>107</v>
      </c>
      <c r="N207" s="6">
        <f>IF(Tabela5[[#This Row],[Dim_Cenario'[Nome Cenario']]]=Tabela5[[#Headers],[INIC Atual]],Tabela5[[#This Row],['[Valores_cenario']]],0)</f>
        <v>0</v>
      </c>
      <c r="O207" s="6">
        <f>IF(Tabela5[[#This Row],[Dim_Cenario'[Nome Cenario']]]=Tabela5[[#Headers],[Revisado]],Tabela5[[#This Row],['[Valores_cenario']]],0)</f>
        <v>0</v>
      </c>
      <c r="P207" s="6">
        <f>IF(Tabela5[[#This Row],[Dim_Cenario'[Nome Cenario']]]=Tabela5[[#Headers],[Realizado]],Tabela5[[#This Row],['[Valores_cenario']]],0)</f>
        <v>8000</v>
      </c>
    </row>
    <row r="208" hidden="1" spans="1:16">
      <c r="A208" t="s">
        <v>17</v>
      </c>
      <c r="B208" t="s">
        <v>18</v>
      </c>
      <c r="C208" t="s">
        <v>37</v>
      </c>
      <c r="D208" t="s">
        <v>15</v>
      </c>
      <c r="E208">
        <v>2020</v>
      </c>
      <c r="F208" t="s">
        <v>25</v>
      </c>
      <c r="G208" t="s">
        <v>26</v>
      </c>
      <c r="H208">
        <v>2</v>
      </c>
      <c r="I208">
        <v>23331.6</v>
      </c>
      <c r="J208" t="s">
        <v>36</v>
      </c>
      <c r="K208" s="3">
        <v>43867</v>
      </c>
      <c r="L208" t="s">
        <v>48</v>
      </c>
      <c r="M208" t="s">
        <v>108</v>
      </c>
      <c r="N208" s="6">
        <f>IF(Tabela5[[#This Row],[Dim_Cenario'[Nome Cenario']]]=Tabela5[[#Headers],[INIC Atual]],Tabela5[[#This Row],['[Valores_cenario']]],0)</f>
        <v>0</v>
      </c>
      <c r="O208" s="6">
        <f>IF(Tabela5[[#This Row],[Dim_Cenario'[Nome Cenario']]]=Tabela5[[#Headers],[Revisado]],Tabela5[[#This Row],['[Valores_cenario']]],0)</f>
        <v>0</v>
      </c>
      <c r="P208" s="6">
        <f>IF(Tabela5[[#This Row],[Dim_Cenario'[Nome Cenario']]]=Tabela5[[#Headers],[Realizado]],Tabela5[[#This Row],['[Valores_cenario']]],0)</f>
        <v>23331.6</v>
      </c>
    </row>
    <row r="209" hidden="1" spans="1:16">
      <c r="A209" t="s">
        <v>17</v>
      </c>
      <c r="B209" t="s">
        <v>18</v>
      </c>
      <c r="C209" t="s">
        <v>37</v>
      </c>
      <c r="D209" t="s">
        <v>15</v>
      </c>
      <c r="E209">
        <v>2020</v>
      </c>
      <c r="F209" t="s">
        <v>25</v>
      </c>
      <c r="G209" t="s">
        <v>26</v>
      </c>
      <c r="H209">
        <v>2</v>
      </c>
      <c r="I209">
        <v>-31054.74</v>
      </c>
      <c r="J209" t="s">
        <v>36</v>
      </c>
      <c r="K209" s="3">
        <v>43881</v>
      </c>
      <c r="L209" t="s">
        <v>109</v>
      </c>
      <c r="M209" t="s">
        <v>110</v>
      </c>
      <c r="N209" s="6">
        <f>IF(Tabela5[[#This Row],[Dim_Cenario'[Nome Cenario']]]=Tabela5[[#Headers],[INIC Atual]],Tabela5[[#This Row],['[Valores_cenario']]],0)</f>
        <v>0</v>
      </c>
      <c r="O209" s="6">
        <f>IF(Tabela5[[#This Row],[Dim_Cenario'[Nome Cenario']]]=Tabela5[[#Headers],[Revisado]],Tabela5[[#This Row],['[Valores_cenario']]],0)</f>
        <v>0</v>
      </c>
      <c r="P209" s="6">
        <f>IF(Tabela5[[#This Row],[Dim_Cenario'[Nome Cenario']]]=Tabela5[[#Headers],[Realizado]],Tabela5[[#This Row],['[Valores_cenario']]],0)</f>
        <v>-31054.74</v>
      </c>
    </row>
    <row r="210" hidden="1" spans="1:16">
      <c r="A210" t="s">
        <v>17</v>
      </c>
      <c r="B210" t="s">
        <v>18</v>
      </c>
      <c r="C210" t="s">
        <v>37</v>
      </c>
      <c r="D210" t="s">
        <v>15</v>
      </c>
      <c r="E210">
        <v>2020</v>
      </c>
      <c r="F210" t="s">
        <v>25</v>
      </c>
      <c r="G210" t="s">
        <v>26</v>
      </c>
      <c r="H210">
        <v>2</v>
      </c>
      <c r="I210">
        <v>31054.74</v>
      </c>
      <c r="J210" t="s">
        <v>36</v>
      </c>
      <c r="K210" s="3">
        <v>43881</v>
      </c>
      <c r="L210" t="s">
        <v>109</v>
      </c>
      <c r="M210" t="s">
        <v>111</v>
      </c>
      <c r="N210" s="6">
        <f>IF(Tabela5[[#This Row],[Dim_Cenario'[Nome Cenario']]]=Tabela5[[#Headers],[INIC Atual]],Tabela5[[#This Row],['[Valores_cenario']]],0)</f>
        <v>0</v>
      </c>
      <c r="O210" s="6">
        <f>IF(Tabela5[[#This Row],[Dim_Cenario'[Nome Cenario']]]=Tabela5[[#Headers],[Revisado]],Tabela5[[#This Row],['[Valores_cenario']]],0)</f>
        <v>0</v>
      </c>
      <c r="P210" s="6">
        <f>IF(Tabela5[[#This Row],[Dim_Cenario'[Nome Cenario']]]=Tabela5[[#Headers],[Realizado]],Tabela5[[#This Row],['[Valores_cenario']]],0)</f>
        <v>31054.74</v>
      </c>
    </row>
    <row r="211" spans="1:16">
      <c r="A211" t="s">
        <v>17</v>
      </c>
      <c r="B211" t="s">
        <v>18</v>
      </c>
      <c r="C211" t="s">
        <v>37</v>
      </c>
      <c r="D211" t="s">
        <v>15</v>
      </c>
      <c r="E211">
        <v>2022</v>
      </c>
      <c r="F211" t="s">
        <v>21</v>
      </c>
      <c r="G211" t="s">
        <v>22</v>
      </c>
      <c r="H211">
        <v>10</v>
      </c>
      <c r="I211">
        <v>8000</v>
      </c>
      <c r="J211" t="s">
        <v>23</v>
      </c>
      <c r="K211" s="3">
        <v>44853</v>
      </c>
      <c r="L211" t="s">
        <v>106</v>
      </c>
      <c r="M211" t="s">
        <v>112</v>
      </c>
      <c r="N211" s="6">
        <f>IF(Tabela5[[#This Row],[Dim_Cenario'[Nome Cenario']]]=Tabela5[[#Headers],[INIC Atual]],Tabela5[[#This Row],['[Valores_cenario']]],0)</f>
        <v>0</v>
      </c>
      <c r="O211" s="6">
        <f>IF(Tabela5[[#This Row],[Dim_Cenario'[Nome Cenario']]]=Tabela5[[#Headers],[Revisado]],Tabela5[[#This Row],['[Valores_cenario']]],0)</f>
        <v>0</v>
      </c>
      <c r="P211" s="6">
        <f>IF(Tabela5[[#This Row],[Dim_Cenario'[Nome Cenario']]]=Tabela5[[#Headers],[Realizado]],Tabela5[[#This Row],['[Valores_cenario']]],0)</f>
        <v>8000</v>
      </c>
    </row>
    <row r="212" spans="1:16">
      <c r="A212" t="s">
        <v>17</v>
      </c>
      <c r="B212" t="s">
        <v>18</v>
      </c>
      <c r="C212" t="s">
        <v>37</v>
      </c>
      <c r="D212" t="s">
        <v>15</v>
      </c>
      <c r="E212">
        <v>2024</v>
      </c>
      <c r="F212" t="s">
        <v>25</v>
      </c>
      <c r="G212" t="s">
        <v>38</v>
      </c>
      <c r="H212">
        <v>3</v>
      </c>
      <c r="I212">
        <v>8000</v>
      </c>
      <c r="J212" t="s">
        <v>23</v>
      </c>
      <c r="K212" s="3">
        <v>45364</v>
      </c>
      <c r="L212" t="s">
        <v>46</v>
      </c>
      <c r="M212" t="s">
        <v>113</v>
      </c>
      <c r="N212" s="6">
        <f>IF(Tabela5[[#This Row],[Dim_Cenario'[Nome Cenario']]]=Tabela5[[#Headers],[INIC Atual]],Tabela5[[#This Row],['[Valores_cenario']]],0)</f>
        <v>0</v>
      </c>
      <c r="O212" s="6">
        <f>IF(Tabela5[[#This Row],[Dim_Cenario'[Nome Cenario']]]=Tabela5[[#Headers],[Revisado]],Tabela5[[#This Row],['[Valores_cenario']]],0)</f>
        <v>0</v>
      </c>
      <c r="P212" s="6">
        <f>IF(Tabela5[[#This Row],[Dim_Cenario'[Nome Cenario']]]=Tabela5[[#Headers],[Realizado]],Tabela5[[#This Row],['[Valores_cenario']]],0)</f>
        <v>8000</v>
      </c>
    </row>
    <row r="213" hidden="1" spans="1:16">
      <c r="A213" t="s">
        <v>17</v>
      </c>
      <c r="B213" t="s">
        <v>18</v>
      </c>
      <c r="C213" t="s">
        <v>37</v>
      </c>
      <c r="D213" t="s">
        <v>15</v>
      </c>
      <c r="E213">
        <v>2020</v>
      </c>
      <c r="F213" t="s">
        <v>25</v>
      </c>
      <c r="G213" t="s">
        <v>26</v>
      </c>
      <c r="H213">
        <v>2</v>
      </c>
      <c r="I213">
        <v>31054.74</v>
      </c>
      <c r="J213" t="s">
        <v>36</v>
      </c>
      <c r="K213" s="3">
        <v>43889</v>
      </c>
      <c r="L213" t="s">
        <v>109</v>
      </c>
      <c r="M213" t="s">
        <v>111</v>
      </c>
      <c r="N213" s="6">
        <f>IF(Tabela5[[#This Row],[Dim_Cenario'[Nome Cenario']]]=Tabela5[[#Headers],[INIC Atual]],Tabela5[[#This Row],['[Valores_cenario']]],0)</f>
        <v>0</v>
      </c>
      <c r="O213" s="6">
        <f>IF(Tabela5[[#This Row],[Dim_Cenario'[Nome Cenario']]]=Tabela5[[#Headers],[Revisado]],Tabela5[[#This Row],['[Valores_cenario']]],0)</f>
        <v>0</v>
      </c>
      <c r="P213" s="6">
        <f>IF(Tabela5[[#This Row],[Dim_Cenario'[Nome Cenario']]]=Tabela5[[#Headers],[Realizado]],Tabela5[[#This Row],['[Valores_cenario']]],0)</f>
        <v>31054.74</v>
      </c>
    </row>
    <row r="214" spans="1:16">
      <c r="A214" t="s">
        <v>17</v>
      </c>
      <c r="B214" t="s">
        <v>18</v>
      </c>
      <c r="C214" t="s">
        <v>37</v>
      </c>
      <c r="D214" t="s">
        <v>15</v>
      </c>
      <c r="E214">
        <v>2024</v>
      </c>
      <c r="F214" t="s">
        <v>21</v>
      </c>
      <c r="G214" t="s">
        <v>24</v>
      </c>
      <c r="H214">
        <v>11</v>
      </c>
      <c r="I214">
        <v>8000</v>
      </c>
      <c r="J214" t="s">
        <v>23</v>
      </c>
      <c r="K214" s="3">
        <v>45622</v>
      </c>
      <c r="L214" t="s">
        <v>114</v>
      </c>
      <c r="M214" t="s">
        <v>115</v>
      </c>
      <c r="N214" s="6">
        <f>IF(Tabela5[[#This Row],[Dim_Cenario'[Nome Cenario']]]=Tabela5[[#Headers],[INIC Atual]],Tabela5[[#This Row],['[Valores_cenario']]],0)</f>
        <v>0</v>
      </c>
      <c r="O214" s="6">
        <f>IF(Tabela5[[#This Row],[Dim_Cenario'[Nome Cenario']]]=Tabela5[[#Headers],[Revisado]],Tabela5[[#This Row],['[Valores_cenario']]],0)</f>
        <v>0</v>
      </c>
      <c r="P214" s="6">
        <f>IF(Tabela5[[#This Row],[Dim_Cenario'[Nome Cenario']]]=Tabela5[[#Headers],[Realizado]],Tabela5[[#This Row],['[Valores_cenario']]],0)</f>
        <v>8000</v>
      </c>
    </row>
    <row r="215" spans="1:16">
      <c r="A215" t="s">
        <v>17</v>
      </c>
      <c r="B215" t="s">
        <v>92</v>
      </c>
      <c r="C215" t="s">
        <v>37</v>
      </c>
      <c r="D215" t="s">
        <v>15</v>
      </c>
      <c r="E215">
        <v>2024</v>
      </c>
      <c r="F215" t="s">
        <v>21</v>
      </c>
      <c r="G215" t="s">
        <v>22</v>
      </c>
      <c r="H215">
        <v>10</v>
      </c>
      <c r="I215">
        <v>7961.54</v>
      </c>
      <c r="J215" t="s">
        <v>23</v>
      </c>
      <c r="K215" s="3">
        <v>45596</v>
      </c>
      <c r="M215" t="s">
        <v>116</v>
      </c>
      <c r="N215" s="6">
        <f>IF(Tabela5[[#This Row],[Dim_Cenario'[Nome Cenario']]]=Tabela5[[#Headers],[INIC Atual]],Tabela5[[#This Row],['[Valores_cenario']]],0)</f>
        <v>0</v>
      </c>
      <c r="O215" s="6">
        <f>IF(Tabela5[[#This Row],[Dim_Cenario'[Nome Cenario']]]=Tabela5[[#Headers],[Revisado]],Tabela5[[#This Row],['[Valores_cenario']]],0)</f>
        <v>0</v>
      </c>
      <c r="P215" s="6">
        <f>IF(Tabela5[[#This Row],[Dim_Cenario'[Nome Cenario']]]=Tabela5[[#Headers],[Realizado]],Tabela5[[#This Row],['[Valores_cenario']]],0)</f>
        <v>7961.54</v>
      </c>
    </row>
    <row r="216" hidden="1" spans="1:16">
      <c r="A216" t="s">
        <v>17</v>
      </c>
      <c r="B216" t="s">
        <v>18</v>
      </c>
      <c r="C216" t="s">
        <v>37</v>
      </c>
      <c r="D216" t="s">
        <v>15</v>
      </c>
      <c r="E216">
        <v>2020</v>
      </c>
      <c r="F216" t="s">
        <v>27</v>
      </c>
      <c r="G216" t="s">
        <v>28</v>
      </c>
      <c r="H216">
        <v>4</v>
      </c>
      <c r="I216">
        <v>32000</v>
      </c>
      <c r="J216" t="s">
        <v>36</v>
      </c>
      <c r="K216" s="3">
        <v>43930</v>
      </c>
      <c r="L216" t="s">
        <v>117</v>
      </c>
      <c r="M216" t="s">
        <v>118</v>
      </c>
      <c r="N216" s="6">
        <f>IF(Tabela5[[#This Row],[Dim_Cenario'[Nome Cenario']]]=Tabela5[[#Headers],[INIC Atual]],Tabela5[[#This Row],['[Valores_cenario']]],0)</f>
        <v>0</v>
      </c>
      <c r="O216" s="6">
        <f>IF(Tabela5[[#This Row],[Dim_Cenario'[Nome Cenario']]]=Tabela5[[#Headers],[Revisado]],Tabela5[[#This Row],['[Valores_cenario']]],0)</f>
        <v>0</v>
      </c>
      <c r="P216" s="6">
        <f>IF(Tabela5[[#This Row],[Dim_Cenario'[Nome Cenario']]]=Tabela5[[#Headers],[Realizado]],Tabela5[[#This Row],['[Valores_cenario']]],0)</f>
        <v>32000</v>
      </c>
    </row>
    <row r="217" spans="1:16">
      <c r="A217" t="s">
        <v>17</v>
      </c>
      <c r="B217" t="s">
        <v>18</v>
      </c>
      <c r="C217" t="s">
        <v>37</v>
      </c>
      <c r="D217" t="s">
        <v>15</v>
      </c>
      <c r="E217">
        <v>2019</v>
      </c>
      <c r="F217" t="s">
        <v>27</v>
      </c>
      <c r="G217" t="s">
        <v>39</v>
      </c>
      <c r="H217">
        <v>5</v>
      </c>
      <c r="I217">
        <v>7927.5</v>
      </c>
      <c r="J217" t="s">
        <v>36</v>
      </c>
      <c r="K217" s="3">
        <v>43595</v>
      </c>
      <c r="L217" t="s">
        <v>56</v>
      </c>
      <c r="M217" t="s">
        <v>119</v>
      </c>
      <c r="N217" s="6">
        <f>IF(Tabela5[[#This Row],[Dim_Cenario'[Nome Cenario']]]=Tabela5[[#Headers],[INIC Atual]],Tabela5[[#This Row],['[Valores_cenario']]],0)</f>
        <v>0</v>
      </c>
      <c r="O217" s="6">
        <f>IF(Tabela5[[#This Row],[Dim_Cenario'[Nome Cenario']]]=Tabela5[[#Headers],[Revisado]],Tabela5[[#This Row],['[Valores_cenario']]],0)</f>
        <v>0</v>
      </c>
      <c r="P217" s="6">
        <f>IF(Tabela5[[#This Row],[Dim_Cenario'[Nome Cenario']]]=Tabela5[[#Headers],[Realizado]],Tabela5[[#This Row],['[Valores_cenario']]],0)</f>
        <v>7927.5</v>
      </c>
    </row>
    <row r="218" spans="1:16">
      <c r="A218" t="s">
        <v>17</v>
      </c>
      <c r="B218" t="s">
        <v>18</v>
      </c>
      <c r="C218" t="s">
        <v>37</v>
      </c>
      <c r="D218" t="s">
        <v>15</v>
      </c>
      <c r="E218">
        <v>2025</v>
      </c>
      <c r="F218" t="s">
        <v>30</v>
      </c>
      <c r="G218" t="s">
        <v>31</v>
      </c>
      <c r="H218">
        <v>8</v>
      </c>
      <c r="I218">
        <v>7871.2</v>
      </c>
      <c r="J218" t="s">
        <v>33</v>
      </c>
      <c r="K218" s="3">
        <v>45882</v>
      </c>
      <c r="L218" t="s">
        <v>120</v>
      </c>
      <c r="M218" t="s">
        <v>121</v>
      </c>
      <c r="N218" s="6">
        <f>IF(Tabela5[[#This Row],[Dim_Cenario'[Nome Cenario']]]=Tabela5[[#Headers],[INIC Atual]],Tabela5[[#This Row],['[Valores_cenario']]],0)</f>
        <v>0</v>
      </c>
      <c r="O218" s="6">
        <f>IF(Tabela5[[#This Row],[Dim_Cenario'[Nome Cenario']]]=Tabela5[[#Headers],[Revisado]],Tabela5[[#This Row],['[Valores_cenario']]],0)</f>
        <v>0</v>
      </c>
      <c r="P218" s="6">
        <f>IF(Tabela5[[#This Row],[Dim_Cenario'[Nome Cenario']]]=Tabela5[[#Headers],[Realizado]],Tabela5[[#This Row],['[Valores_cenario']]],0)</f>
        <v>7871.2</v>
      </c>
    </row>
    <row r="219" spans="1:16">
      <c r="A219" t="s">
        <v>17</v>
      </c>
      <c r="B219" t="s">
        <v>18</v>
      </c>
      <c r="C219" t="s">
        <v>37</v>
      </c>
      <c r="D219" t="s">
        <v>15</v>
      </c>
      <c r="E219">
        <v>2022</v>
      </c>
      <c r="F219" t="s">
        <v>27</v>
      </c>
      <c r="G219" t="s">
        <v>28</v>
      </c>
      <c r="H219">
        <v>4</v>
      </c>
      <c r="I219">
        <v>7830</v>
      </c>
      <c r="J219" t="s">
        <v>23</v>
      </c>
      <c r="K219" s="3">
        <v>44680</v>
      </c>
      <c r="L219" t="s">
        <v>122</v>
      </c>
      <c r="M219" t="s">
        <v>123</v>
      </c>
      <c r="N219" s="6">
        <f>IF(Tabela5[[#This Row],[Dim_Cenario'[Nome Cenario']]]=Tabela5[[#Headers],[INIC Atual]],Tabela5[[#This Row],['[Valores_cenario']]],0)</f>
        <v>0</v>
      </c>
      <c r="O219" s="6">
        <f>IF(Tabela5[[#This Row],[Dim_Cenario'[Nome Cenario']]]=Tabela5[[#Headers],[Revisado]],Tabela5[[#This Row],['[Valores_cenario']]],0)</f>
        <v>0</v>
      </c>
      <c r="P219" s="6">
        <f>IF(Tabela5[[#This Row],[Dim_Cenario'[Nome Cenario']]]=Tabela5[[#Headers],[Realizado]],Tabela5[[#This Row],['[Valores_cenario']]],0)</f>
        <v>7830</v>
      </c>
    </row>
    <row r="220" spans="1:16">
      <c r="A220" t="s">
        <v>17</v>
      </c>
      <c r="B220" t="s">
        <v>92</v>
      </c>
      <c r="C220" t="s">
        <v>37</v>
      </c>
      <c r="D220" t="s">
        <v>15</v>
      </c>
      <c r="E220">
        <v>2022</v>
      </c>
      <c r="F220" t="s">
        <v>21</v>
      </c>
      <c r="G220" t="s">
        <v>24</v>
      </c>
      <c r="H220">
        <v>11</v>
      </c>
      <c r="I220">
        <v>7784.05</v>
      </c>
      <c r="J220" t="s">
        <v>23</v>
      </c>
      <c r="K220" s="3">
        <v>44895</v>
      </c>
      <c r="M220" t="s">
        <v>124</v>
      </c>
      <c r="N220" s="6">
        <f>IF(Tabela5[[#This Row],[Dim_Cenario'[Nome Cenario']]]=Tabela5[[#Headers],[INIC Atual]],Tabela5[[#This Row],['[Valores_cenario']]],0)</f>
        <v>0</v>
      </c>
      <c r="O220" s="6">
        <f>IF(Tabela5[[#This Row],[Dim_Cenario'[Nome Cenario']]]=Tabela5[[#Headers],[Revisado]],Tabela5[[#This Row],['[Valores_cenario']]],0)</f>
        <v>0</v>
      </c>
      <c r="P220" s="6">
        <f>IF(Tabela5[[#This Row],[Dim_Cenario'[Nome Cenario']]]=Tabela5[[#Headers],[Realizado]],Tabela5[[#This Row],['[Valores_cenario']]],0)</f>
        <v>7784.05</v>
      </c>
    </row>
    <row r="221" spans="1:16">
      <c r="A221" t="s">
        <v>17</v>
      </c>
      <c r="B221" t="s">
        <v>92</v>
      </c>
      <c r="C221" t="s">
        <v>37</v>
      </c>
      <c r="D221" t="s">
        <v>15</v>
      </c>
      <c r="E221">
        <v>2023</v>
      </c>
      <c r="F221" t="s">
        <v>21</v>
      </c>
      <c r="G221" t="s">
        <v>22</v>
      </c>
      <c r="H221">
        <v>10</v>
      </c>
      <c r="I221">
        <v>7732.36</v>
      </c>
      <c r="J221" t="s">
        <v>23</v>
      </c>
      <c r="K221" s="3">
        <v>45230</v>
      </c>
      <c r="M221" t="s">
        <v>125</v>
      </c>
      <c r="N221" s="6">
        <f>IF(Tabela5[[#This Row],[Dim_Cenario'[Nome Cenario']]]=Tabela5[[#Headers],[INIC Atual]],Tabela5[[#This Row],['[Valores_cenario']]],0)</f>
        <v>0</v>
      </c>
      <c r="O221" s="6">
        <f>IF(Tabela5[[#This Row],[Dim_Cenario'[Nome Cenario']]]=Tabela5[[#Headers],[Revisado]],Tabela5[[#This Row],['[Valores_cenario']]],0)</f>
        <v>0</v>
      </c>
      <c r="P221" s="6">
        <f>IF(Tabela5[[#This Row],[Dim_Cenario'[Nome Cenario']]]=Tabela5[[#Headers],[Realizado]],Tabela5[[#This Row],['[Valores_cenario']]],0)</f>
        <v>7732.36</v>
      </c>
    </row>
    <row r="222" spans="1:16">
      <c r="A222" t="s">
        <v>17</v>
      </c>
      <c r="B222" t="s">
        <v>92</v>
      </c>
      <c r="C222" t="s">
        <v>37</v>
      </c>
      <c r="D222" t="s">
        <v>15</v>
      </c>
      <c r="E222">
        <v>2025</v>
      </c>
      <c r="F222" t="s">
        <v>21</v>
      </c>
      <c r="G222" t="s">
        <v>22</v>
      </c>
      <c r="H222">
        <v>10</v>
      </c>
      <c r="I222">
        <v>7720.4</v>
      </c>
      <c r="J222" t="s">
        <v>33</v>
      </c>
      <c r="K222" s="3">
        <v>45961</v>
      </c>
      <c r="M222" t="s">
        <v>126</v>
      </c>
      <c r="N222" s="6">
        <f>IF(Tabela5[[#This Row],[Dim_Cenario'[Nome Cenario']]]=Tabela5[[#Headers],[INIC Atual]],Tabela5[[#This Row],['[Valores_cenario']]],0)</f>
        <v>0</v>
      </c>
      <c r="O222" s="6">
        <f>IF(Tabela5[[#This Row],[Dim_Cenario'[Nome Cenario']]]=Tabela5[[#Headers],[Revisado]],Tabela5[[#This Row],['[Valores_cenario']]],0)</f>
        <v>0</v>
      </c>
      <c r="P222" s="6">
        <f>IF(Tabela5[[#This Row],[Dim_Cenario'[Nome Cenario']]]=Tabela5[[#Headers],[Realizado]],Tabela5[[#This Row],['[Valores_cenario']]],0)</f>
        <v>7720.4</v>
      </c>
    </row>
    <row r="223" hidden="1" spans="1:16">
      <c r="A223" t="s">
        <v>17</v>
      </c>
      <c r="B223" t="s">
        <v>18</v>
      </c>
      <c r="C223" t="s">
        <v>37</v>
      </c>
      <c r="D223" t="s">
        <v>15</v>
      </c>
      <c r="E223">
        <v>2020</v>
      </c>
      <c r="F223" t="s">
        <v>30</v>
      </c>
      <c r="G223" t="s">
        <v>40</v>
      </c>
      <c r="H223">
        <v>7</v>
      </c>
      <c r="I223">
        <v>15439.2</v>
      </c>
      <c r="J223" t="s">
        <v>36</v>
      </c>
      <c r="K223" s="3">
        <v>44032</v>
      </c>
      <c r="L223" t="s">
        <v>127</v>
      </c>
      <c r="M223" t="s">
        <v>128</v>
      </c>
      <c r="N223" s="6">
        <f>IF(Tabela5[[#This Row],[Dim_Cenario'[Nome Cenario']]]=Tabela5[[#Headers],[INIC Atual]],Tabela5[[#This Row],['[Valores_cenario']]],0)</f>
        <v>0</v>
      </c>
      <c r="O223" s="6">
        <f>IF(Tabela5[[#This Row],[Dim_Cenario'[Nome Cenario']]]=Tabela5[[#Headers],[Revisado]],Tabela5[[#This Row],['[Valores_cenario']]],0)</f>
        <v>0</v>
      </c>
      <c r="P223" s="6">
        <f>IF(Tabela5[[#This Row],[Dim_Cenario'[Nome Cenario']]]=Tabela5[[#Headers],[Realizado]],Tabela5[[#This Row],['[Valores_cenario']]],0)</f>
        <v>15439.2</v>
      </c>
    </row>
    <row r="224" spans="1:16">
      <c r="A224" t="s">
        <v>17</v>
      </c>
      <c r="B224" t="s">
        <v>18</v>
      </c>
      <c r="C224" t="s">
        <v>37</v>
      </c>
      <c r="D224" t="s">
        <v>15</v>
      </c>
      <c r="E224">
        <v>2022</v>
      </c>
      <c r="F224" t="s">
        <v>30</v>
      </c>
      <c r="G224" t="s">
        <v>40</v>
      </c>
      <c r="H224">
        <v>7</v>
      </c>
      <c r="I224">
        <v>7660.9</v>
      </c>
      <c r="J224" t="s">
        <v>23</v>
      </c>
      <c r="K224" s="3">
        <v>44749</v>
      </c>
      <c r="L224" t="s">
        <v>52</v>
      </c>
      <c r="M224" t="s">
        <v>129</v>
      </c>
      <c r="N224" s="6">
        <f>IF(Tabela5[[#This Row],[Dim_Cenario'[Nome Cenario']]]=Tabela5[[#Headers],[INIC Atual]],Tabela5[[#This Row],['[Valores_cenario']]],0)</f>
        <v>0</v>
      </c>
      <c r="O224" s="6">
        <f>IF(Tabela5[[#This Row],[Dim_Cenario'[Nome Cenario']]]=Tabela5[[#Headers],[Revisado]],Tabela5[[#This Row],['[Valores_cenario']]],0)</f>
        <v>0</v>
      </c>
      <c r="P224" s="6">
        <f>IF(Tabela5[[#This Row],[Dim_Cenario'[Nome Cenario']]]=Tabela5[[#Headers],[Realizado]],Tabela5[[#This Row],['[Valores_cenario']]],0)</f>
        <v>7660.9</v>
      </c>
    </row>
    <row r="225" spans="1:16">
      <c r="A225" t="s">
        <v>17</v>
      </c>
      <c r="B225" t="s">
        <v>18</v>
      </c>
      <c r="C225" t="s">
        <v>37</v>
      </c>
      <c r="D225" t="s">
        <v>15</v>
      </c>
      <c r="E225">
        <v>2021</v>
      </c>
      <c r="F225" t="s">
        <v>25</v>
      </c>
      <c r="G225" t="s">
        <v>26</v>
      </c>
      <c r="H225">
        <v>2</v>
      </c>
      <c r="I225">
        <v>7310.52</v>
      </c>
      <c r="J225" t="s">
        <v>36</v>
      </c>
      <c r="K225" s="3">
        <v>44253</v>
      </c>
      <c r="L225" t="s">
        <v>56</v>
      </c>
      <c r="M225" t="s">
        <v>130</v>
      </c>
      <c r="N225" s="6">
        <f>IF(Tabela5[[#This Row],[Dim_Cenario'[Nome Cenario']]]=Tabela5[[#Headers],[INIC Atual]],Tabela5[[#This Row],['[Valores_cenario']]],0)</f>
        <v>0</v>
      </c>
      <c r="O225" s="6">
        <f>IF(Tabela5[[#This Row],[Dim_Cenario'[Nome Cenario']]]=Tabela5[[#Headers],[Revisado]],Tabela5[[#This Row],['[Valores_cenario']]],0)</f>
        <v>0</v>
      </c>
      <c r="P225" s="6">
        <f>IF(Tabela5[[#This Row],[Dim_Cenario'[Nome Cenario']]]=Tabela5[[#Headers],[Realizado]],Tabela5[[#This Row],['[Valores_cenario']]],0)</f>
        <v>7310.52</v>
      </c>
    </row>
    <row r="226" spans="1:16">
      <c r="A226" t="s">
        <v>17</v>
      </c>
      <c r="B226" t="s">
        <v>92</v>
      </c>
      <c r="C226" t="s">
        <v>37</v>
      </c>
      <c r="D226" t="s">
        <v>15</v>
      </c>
      <c r="E226">
        <v>2024</v>
      </c>
      <c r="F226" t="s">
        <v>21</v>
      </c>
      <c r="G226" t="s">
        <v>22</v>
      </c>
      <c r="H226">
        <v>10</v>
      </c>
      <c r="I226">
        <v>7130.21</v>
      </c>
      <c r="J226" t="s">
        <v>23</v>
      </c>
      <c r="K226" s="3">
        <v>45596</v>
      </c>
      <c r="M226" t="s">
        <v>131</v>
      </c>
      <c r="N226" s="6">
        <f>IF(Tabela5[[#This Row],[Dim_Cenario'[Nome Cenario']]]=Tabela5[[#Headers],[INIC Atual]],Tabela5[[#This Row],['[Valores_cenario']]],0)</f>
        <v>0</v>
      </c>
      <c r="O226" s="6">
        <f>IF(Tabela5[[#This Row],[Dim_Cenario'[Nome Cenario']]]=Tabela5[[#Headers],[Revisado]],Tabela5[[#This Row],['[Valores_cenario']]],0)</f>
        <v>0</v>
      </c>
      <c r="P226" s="6">
        <f>IF(Tabela5[[#This Row],[Dim_Cenario'[Nome Cenario']]]=Tabela5[[#Headers],[Realizado]],Tabela5[[#This Row],['[Valores_cenario']]],0)</f>
        <v>7130.21</v>
      </c>
    </row>
    <row r="227" spans="1:16">
      <c r="A227" t="s">
        <v>17</v>
      </c>
      <c r="B227" t="s">
        <v>18</v>
      </c>
      <c r="C227" t="s">
        <v>37</v>
      </c>
      <c r="D227" t="s">
        <v>15</v>
      </c>
      <c r="E227">
        <v>2019</v>
      </c>
      <c r="F227" t="s">
        <v>30</v>
      </c>
      <c r="G227" t="s">
        <v>31</v>
      </c>
      <c r="H227">
        <v>8</v>
      </c>
      <c r="I227">
        <v>7052.22</v>
      </c>
      <c r="J227" t="s">
        <v>36</v>
      </c>
      <c r="K227" s="3">
        <v>43698</v>
      </c>
      <c r="L227" t="s">
        <v>56</v>
      </c>
      <c r="M227" t="s">
        <v>132</v>
      </c>
      <c r="N227" s="6">
        <f>IF(Tabela5[[#This Row],[Dim_Cenario'[Nome Cenario']]]=Tabela5[[#Headers],[INIC Atual]],Tabela5[[#This Row],['[Valores_cenario']]],0)</f>
        <v>0</v>
      </c>
      <c r="O227" s="6">
        <f>IF(Tabela5[[#This Row],[Dim_Cenario'[Nome Cenario']]]=Tabela5[[#Headers],[Revisado]],Tabela5[[#This Row],['[Valores_cenario']]],0)</f>
        <v>0</v>
      </c>
      <c r="P227" s="6">
        <f>IF(Tabela5[[#This Row],[Dim_Cenario'[Nome Cenario']]]=Tabela5[[#Headers],[Realizado]],Tabela5[[#This Row],['[Valores_cenario']]],0)</f>
        <v>7052.22</v>
      </c>
    </row>
    <row r="228" spans="1:16">
      <c r="A228" t="s">
        <v>17</v>
      </c>
      <c r="B228" t="s">
        <v>92</v>
      </c>
      <c r="C228" t="s">
        <v>37</v>
      </c>
      <c r="D228" t="s">
        <v>15</v>
      </c>
      <c r="E228">
        <v>2022</v>
      </c>
      <c r="F228" t="s">
        <v>21</v>
      </c>
      <c r="G228" t="s">
        <v>22</v>
      </c>
      <c r="H228">
        <v>10</v>
      </c>
      <c r="I228">
        <v>6639.12</v>
      </c>
      <c r="J228" t="s">
        <v>23</v>
      </c>
      <c r="K228" s="3">
        <v>44865</v>
      </c>
      <c r="M228" t="s">
        <v>133</v>
      </c>
      <c r="N228" s="6">
        <f>IF(Tabela5[[#This Row],[Dim_Cenario'[Nome Cenario']]]=Tabela5[[#Headers],[INIC Atual]],Tabela5[[#This Row],['[Valores_cenario']]],0)</f>
        <v>0</v>
      </c>
      <c r="O228" s="6">
        <f>IF(Tabela5[[#This Row],[Dim_Cenario'[Nome Cenario']]]=Tabela5[[#Headers],[Revisado]],Tabela5[[#This Row],['[Valores_cenario']]],0)</f>
        <v>0</v>
      </c>
      <c r="P228" s="6">
        <f>IF(Tabela5[[#This Row],[Dim_Cenario'[Nome Cenario']]]=Tabela5[[#Headers],[Realizado]],Tabela5[[#This Row],['[Valores_cenario']]],0)</f>
        <v>6639.12</v>
      </c>
    </row>
    <row r="229" spans="1:16">
      <c r="A229" t="s">
        <v>17</v>
      </c>
      <c r="B229" t="s">
        <v>92</v>
      </c>
      <c r="C229" t="s">
        <v>37</v>
      </c>
      <c r="D229" t="s">
        <v>15</v>
      </c>
      <c r="E229">
        <v>2023</v>
      </c>
      <c r="F229" t="s">
        <v>21</v>
      </c>
      <c r="G229" t="s">
        <v>22</v>
      </c>
      <c r="H229">
        <v>10</v>
      </c>
      <c r="I229">
        <v>6595.03</v>
      </c>
      <c r="J229" t="s">
        <v>23</v>
      </c>
      <c r="K229" s="3">
        <v>45230</v>
      </c>
      <c r="M229" t="s">
        <v>134</v>
      </c>
      <c r="N229" s="6">
        <f>IF(Tabela5[[#This Row],[Dim_Cenario'[Nome Cenario']]]=Tabela5[[#Headers],[INIC Atual]],Tabela5[[#This Row],['[Valores_cenario']]],0)</f>
        <v>0</v>
      </c>
      <c r="O229" s="6">
        <f>IF(Tabela5[[#This Row],[Dim_Cenario'[Nome Cenario']]]=Tabela5[[#Headers],[Revisado]],Tabela5[[#This Row],['[Valores_cenario']]],0)</f>
        <v>0</v>
      </c>
      <c r="P229" s="6">
        <f>IF(Tabela5[[#This Row],[Dim_Cenario'[Nome Cenario']]]=Tabela5[[#Headers],[Realizado]],Tabela5[[#This Row],['[Valores_cenario']]],0)</f>
        <v>6595.03</v>
      </c>
    </row>
    <row r="230" spans="1:16">
      <c r="A230" t="s">
        <v>17</v>
      </c>
      <c r="B230" t="s">
        <v>18</v>
      </c>
      <c r="C230" t="s">
        <v>37</v>
      </c>
      <c r="D230" t="s">
        <v>15</v>
      </c>
      <c r="E230">
        <v>2021</v>
      </c>
      <c r="F230" t="s">
        <v>30</v>
      </c>
      <c r="G230" t="s">
        <v>40</v>
      </c>
      <c r="H230">
        <v>7</v>
      </c>
      <c r="I230">
        <v>6482.3</v>
      </c>
      <c r="J230" t="s">
        <v>36</v>
      </c>
      <c r="K230" s="3">
        <v>44384</v>
      </c>
      <c r="L230" t="s">
        <v>100</v>
      </c>
      <c r="M230" t="s">
        <v>135</v>
      </c>
      <c r="N230" s="6">
        <f>IF(Tabela5[[#This Row],[Dim_Cenario'[Nome Cenario']]]=Tabela5[[#Headers],[INIC Atual]],Tabela5[[#This Row],['[Valores_cenario']]],0)</f>
        <v>0</v>
      </c>
      <c r="O230" s="6">
        <f>IF(Tabela5[[#This Row],[Dim_Cenario'[Nome Cenario']]]=Tabela5[[#Headers],[Revisado]],Tabela5[[#This Row],['[Valores_cenario']]],0)</f>
        <v>0</v>
      </c>
      <c r="P230" s="6">
        <f>IF(Tabela5[[#This Row],[Dim_Cenario'[Nome Cenario']]]=Tabela5[[#Headers],[Realizado]],Tabela5[[#This Row],['[Valores_cenario']]],0)</f>
        <v>6482.3</v>
      </c>
    </row>
    <row r="231" spans="1:16">
      <c r="A231" t="s">
        <v>17</v>
      </c>
      <c r="B231" t="s">
        <v>18</v>
      </c>
      <c r="C231" t="s">
        <v>37</v>
      </c>
      <c r="D231" t="s">
        <v>15</v>
      </c>
      <c r="E231">
        <v>2021</v>
      </c>
      <c r="F231" t="s">
        <v>21</v>
      </c>
      <c r="G231" t="s">
        <v>24</v>
      </c>
      <c r="H231">
        <v>11</v>
      </c>
      <c r="I231">
        <v>6482.3</v>
      </c>
      <c r="J231" t="s">
        <v>36</v>
      </c>
      <c r="K231" s="3">
        <v>44511</v>
      </c>
      <c r="L231" t="s">
        <v>100</v>
      </c>
      <c r="M231" t="s">
        <v>136</v>
      </c>
      <c r="N231" s="6">
        <f>IF(Tabela5[[#This Row],[Dim_Cenario'[Nome Cenario']]]=Tabela5[[#Headers],[INIC Atual]],Tabela5[[#This Row],['[Valores_cenario']]],0)</f>
        <v>0</v>
      </c>
      <c r="O231" s="6">
        <f>IF(Tabela5[[#This Row],[Dim_Cenario'[Nome Cenario']]]=Tabela5[[#Headers],[Revisado]],Tabela5[[#This Row],['[Valores_cenario']]],0)</f>
        <v>0</v>
      </c>
      <c r="P231" s="6">
        <f>IF(Tabela5[[#This Row],[Dim_Cenario'[Nome Cenario']]]=Tabela5[[#Headers],[Realizado]],Tabela5[[#This Row],['[Valores_cenario']]],0)</f>
        <v>6482.3</v>
      </c>
    </row>
    <row r="232" hidden="1" spans="1:16">
      <c r="A232" t="s">
        <v>17</v>
      </c>
      <c r="B232" t="s">
        <v>18</v>
      </c>
      <c r="C232" t="s">
        <v>37</v>
      </c>
      <c r="D232" t="s">
        <v>20</v>
      </c>
      <c r="E232">
        <v>2021</v>
      </c>
      <c r="F232" t="s">
        <v>25</v>
      </c>
      <c r="G232" t="s">
        <v>35</v>
      </c>
      <c r="H232">
        <v>1</v>
      </c>
      <c r="I232">
        <v>16302.152</v>
      </c>
      <c r="J232" t="s">
        <v>36</v>
      </c>
      <c r="K232" s="3"/>
      <c r="N232" s="6">
        <f>IF(Tabela5[[#This Row],[Dim_Cenario'[Nome Cenario']]]=Tabela5[[#Headers],[INIC Atual]],Tabela5[[#This Row],['[Valores_cenario']]],0)</f>
        <v>16302.152</v>
      </c>
      <c r="O232" s="6">
        <f>IF(Tabela5[[#This Row],[Dim_Cenario'[Nome Cenario']]]=Tabela5[[#Headers],[Revisado]],Tabela5[[#This Row],['[Valores_cenario']]],0)</f>
        <v>0</v>
      </c>
      <c r="P232" s="6">
        <f>IF(Tabela5[[#This Row],[Dim_Cenario'[Nome Cenario']]]=Tabela5[[#Headers],[Realizado]],Tabela5[[#This Row],['[Valores_cenario']]],0)</f>
        <v>0</v>
      </c>
    </row>
    <row r="233" hidden="1" spans="1:16">
      <c r="A233" t="s">
        <v>17</v>
      </c>
      <c r="B233" t="s">
        <v>18</v>
      </c>
      <c r="C233" t="s">
        <v>37</v>
      </c>
      <c r="D233" t="s">
        <v>20</v>
      </c>
      <c r="E233">
        <v>2021</v>
      </c>
      <c r="F233" t="s">
        <v>25</v>
      </c>
      <c r="G233" t="s">
        <v>26</v>
      </c>
      <c r="H233">
        <v>2</v>
      </c>
      <c r="I233">
        <v>16302.152</v>
      </c>
      <c r="J233" t="s">
        <v>36</v>
      </c>
      <c r="K233" s="3"/>
      <c r="N233" s="6">
        <f>IF(Tabela5[[#This Row],[Dim_Cenario'[Nome Cenario']]]=Tabela5[[#Headers],[INIC Atual]],Tabela5[[#This Row],['[Valores_cenario']]],0)</f>
        <v>16302.152</v>
      </c>
      <c r="O233" s="6">
        <f>IF(Tabela5[[#This Row],[Dim_Cenario'[Nome Cenario']]]=Tabela5[[#Headers],[Revisado]],Tabela5[[#This Row],['[Valores_cenario']]],0)</f>
        <v>0</v>
      </c>
      <c r="P233" s="6">
        <f>IF(Tabela5[[#This Row],[Dim_Cenario'[Nome Cenario']]]=Tabela5[[#Headers],[Realizado]],Tabela5[[#This Row],['[Valores_cenario']]],0)</f>
        <v>0</v>
      </c>
    </row>
    <row r="234" hidden="1" spans="1:16">
      <c r="A234" t="s">
        <v>17</v>
      </c>
      <c r="B234" t="s">
        <v>18</v>
      </c>
      <c r="C234" t="s">
        <v>37</v>
      </c>
      <c r="D234" t="s">
        <v>20</v>
      </c>
      <c r="E234">
        <v>2021</v>
      </c>
      <c r="F234" t="s">
        <v>25</v>
      </c>
      <c r="G234" t="s">
        <v>38</v>
      </c>
      <c r="H234">
        <v>3</v>
      </c>
      <c r="I234">
        <v>22843.64</v>
      </c>
      <c r="J234" t="s">
        <v>36</v>
      </c>
      <c r="K234" s="3"/>
      <c r="N234" s="6">
        <f>IF(Tabela5[[#This Row],[Dim_Cenario'[Nome Cenario']]]=Tabela5[[#Headers],[INIC Atual]],Tabela5[[#This Row],['[Valores_cenario']]],0)</f>
        <v>22843.64</v>
      </c>
      <c r="O234" s="6">
        <f>IF(Tabela5[[#This Row],[Dim_Cenario'[Nome Cenario']]]=Tabela5[[#Headers],[Revisado]],Tabela5[[#This Row],['[Valores_cenario']]],0)</f>
        <v>0</v>
      </c>
      <c r="P234" s="6">
        <f>IF(Tabela5[[#This Row],[Dim_Cenario'[Nome Cenario']]]=Tabela5[[#Headers],[Realizado]],Tabela5[[#This Row],['[Valores_cenario']]],0)</f>
        <v>0</v>
      </c>
    </row>
    <row r="235" hidden="1" spans="1:16">
      <c r="A235" t="s">
        <v>17</v>
      </c>
      <c r="B235" t="s">
        <v>18</v>
      </c>
      <c r="C235" t="s">
        <v>37</v>
      </c>
      <c r="D235" t="s">
        <v>20</v>
      </c>
      <c r="E235">
        <v>2021</v>
      </c>
      <c r="F235" t="s">
        <v>27</v>
      </c>
      <c r="G235" t="s">
        <v>28</v>
      </c>
      <c r="H235">
        <v>4</v>
      </c>
      <c r="I235">
        <v>50489.316</v>
      </c>
      <c r="J235" t="s">
        <v>36</v>
      </c>
      <c r="K235" s="3"/>
      <c r="N235" s="6">
        <f>IF(Tabela5[[#This Row],[Dim_Cenario'[Nome Cenario']]]=Tabela5[[#Headers],[INIC Atual]],Tabela5[[#This Row],['[Valores_cenario']]],0)</f>
        <v>50489.316</v>
      </c>
      <c r="O235" s="6">
        <f>IF(Tabela5[[#This Row],[Dim_Cenario'[Nome Cenario']]]=Tabela5[[#Headers],[Revisado]],Tabela5[[#This Row],['[Valores_cenario']]],0)</f>
        <v>0</v>
      </c>
      <c r="P235" s="6">
        <f>IF(Tabela5[[#This Row],[Dim_Cenario'[Nome Cenario']]]=Tabela5[[#Headers],[Realizado]],Tabela5[[#This Row],['[Valores_cenario']]],0)</f>
        <v>0</v>
      </c>
    </row>
    <row r="236" hidden="1" spans="1:16">
      <c r="A236" t="s">
        <v>17</v>
      </c>
      <c r="B236" t="s">
        <v>18</v>
      </c>
      <c r="C236" t="s">
        <v>37</v>
      </c>
      <c r="D236" t="s">
        <v>20</v>
      </c>
      <c r="E236">
        <v>2021</v>
      </c>
      <c r="F236" t="s">
        <v>27</v>
      </c>
      <c r="G236" t="s">
        <v>39</v>
      </c>
      <c r="H236">
        <v>5</v>
      </c>
      <c r="I236">
        <v>12492.419</v>
      </c>
      <c r="J236" t="s">
        <v>36</v>
      </c>
      <c r="K236" s="3"/>
      <c r="N236" s="6">
        <f>IF(Tabela5[[#This Row],[Dim_Cenario'[Nome Cenario']]]=Tabela5[[#Headers],[INIC Atual]],Tabela5[[#This Row],['[Valores_cenario']]],0)</f>
        <v>12492.419</v>
      </c>
      <c r="O236" s="6">
        <f>IF(Tabela5[[#This Row],[Dim_Cenario'[Nome Cenario']]]=Tabela5[[#Headers],[Revisado]],Tabela5[[#This Row],['[Valores_cenario']]],0)</f>
        <v>0</v>
      </c>
      <c r="P236" s="6">
        <f>IF(Tabela5[[#This Row],[Dim_Cenario'[Nome Cenario']]]=Tabela5[[#Headers],[Realizado]],Tabela5[[#This Row],['[Valores_cenario']]],0)</f>
        <v>0</v>
      </c>
    </row>
    <row r="237" hidden="1" spans="1:16">
      <c r="A237" t="s">
        <v>17</v>
      </c>
      <c r="B237" t="s">
        <v>18</v>
      </c>
      <c r="C237" t="s">
        <v>37</v>
      </c>
      <c r="D237" t="s">
        <v>20</v>
      </c>
      <c r="E237">
        <v>2021</v>
      </c>
      <c r="F237" t="s">
        <v>27</v>
      </c>
      <c r="G237" t="s">
        <v>29</v>
      </c>
      <c r="H237">
        <v>6</v>
      </c>
      <c r="I237">
        <v>16849.711</v>
      </c>
      <c r="J237" t="s">
        <v>36</v>
      </c>
      <c r="K237" s="3"/>
      <c r="N237" s="6">
        <f>IF(Tabela5[[#This Row],[Dim_Cenario'[Nome Cenario']]]=Tabela5[[#Headers],[INIC Atual]],Tabela5[[#This Row],['[Valores_cenario']]],0)</f>
        <v>16849.711</v>
      </c>
      <c r="O237" s="6">
        <f>IF(Tabela5[[#This Row],[Dim_Cenario'[Nome Cenario']]]=Tabela5[[#Headers],[Revisado]],Tabela5[[#This Row],['[Valores_cenario']]],0)</f>
        <v>0</v>
      </c>
      <c r="P237" s="6">
        <f>IF(Tabela5[[#This Row],[Dim_Cenario'[Nome Cenario']]]=Tabela5[[#Headers],[Realizado]],Tabela5[[#This Row],['[Valores_cenario']]],0)</f>
        <v>0</v>
      </c>
    </row>
    <row r="238" hidden="1" spans="1:16">
      <c r="A238" t="s">
        <v>17</v>
      </c>
      <c r="B238" t="s">
        <v>18</v>
      </c>
      <c r="C238" t="s">
        <v>37</v>
      </c>
      <c r="D238" t="s">
        <v>20</v>
      </c>
      <c r="E238">
        <v>2021</v>
      </c>
      <c r="F238" t="s">
        <v>30</v>
      </c>
      <c r="G238" t="s">
        <v>40</v>
      </c>
      <c r="H238">
        <v>7</v>
      </c>
      <c r="I238">
        <v>10308.222</v>
      </c>
      <c r="J238" t="s">
        <v>36</v>
      </c>
      <c r="K238" s="3"/>
      <c r="N238" s="6">
        <f>IF(Tabela5[[#This Row],[Dim_Cenario'[Nome Cenario']]]=Tabela5[[#Headers],[INIC Atual]],Tabela5[[#This Row],['[Valores_cenario']]],0)</f>
        <v>10308.222</v>
      </c>
      <c r="O238" s="6">
        <f>IF(Tabela5[[#This Row],[Dim_Cenario'[Nome Cenario']]]=Tabela5[[#Headers],[Revisado]],Tabela5[[#This Row],['[Valores_cenario']]],0)</f>
        <v>0</v>
      </c>
      <c r="P238" s="6">
        <f>IF(Tabela5[[#This Row],[Dim_Cenario'[Nome Cenario']]]=Tabela5[[#Headers],[Realizado]],Tabela5[[#This Row],['[Valores_cenario']]],0)</f>
        <v>0</v>
      </c>
    </row>
    <row r="239" hidden="1" spans="1:16">
      <c r="A239" t="s">
        <v>17</v>
      </c>
      <c r="B239" t="s">
        <v>18</v>
      </c>
      <c r="C239" t="s">
        <v>37</v>
      </c>
      <c r="D239" t="s">
        <v>20</v>
      </c>
      <c r="E239">
        <v>2021</v>
      </c>
      <c r="F239" t="s">
        <v>30</v>
      </c>
      <c r="G239" t="s">
        <v>31</v>
      </c>
      <c r="H239">
        <v>8</v>
      </c>
      <c r="I239">
        <v>10308.222</v>
      </c>
      <c r="J239" t="s">
        <v>36</v>
      </c>
      <c r="K239" s="3"/>
      <c r="N239" s="6">
        <f>IF(Tabela5[[#This Row],[Dim_Cenario'[Nome Cenario']]]=Tabela5[[#Headers],[INIC Atual]],Tabela5[[#This Row],['[Valores_cenario']]],0)</f>
        <v>10308.222</v>
      </c>
      <c r="O239" s="6">
        <f>IF(Tabela5[[#This Row],[Dim_Cenario'[Nome Cenario']]]=Tabela5[[#Headers],[Revisado]],Tabela5[[#This Row],['[Valores_cenario']]],0)</f>
        <v>0</v>
      </c>
      <c r="P239" s="6">
        <f>IF(Tabela5[[#This Row],[Dim_Cenario'[Nome Cenario']]]=Tabela5[[#Headers],[Realizado]],Tabela5[[#This Row],['[Valores_cenario']]],0)</f>
        <v>0</v>
      </c>
    </row>
    <row r="240" hidden="1" spans="1:16">
      <c r="A240" t="s">
        <v>17</v>
      </c>
      <c r="B240" t="s">
        <v>18</v>
      </c>
      <c r="C240" t="s">
        <v>37</v>
      </c>
      <c r="D240" t="s">
        <v>20</v>
      </c>
      <c r="E240">
        <v>2021</v>
      </c>
      <c r="F240" t="s">
        <v>30</v>
      </c>
      <c r="G240" t="s">
        <v>41</v>
      </c>
      <c r="H240">
        <v>9</v>
      </c>
      <c r="I240">
        <v>16849.711</v>
      </c>
      <c r="J240" t="s">
        <v>36</v>
      </c>
      <c r="K240" s="3"/>
      <c r="N240" s="6">
        <f>IF(Tabela5[[#This Row],[Dim_Cenario'[Nome Cenario']]]=Tabela5[[#Headers],[INIC Atual]],Tabela5[[#This Row],['[Valores_cenario']]],0)</f>
        <v>16849.711</v>
      </c>
      <c r="O240" s="6">
        <f>IF(Tabela5[[#This Row],[Dim_Cenario'[Nome Cenario']]]=Tabela5[[#Headers],[Revisado]],Tabela5[[#This Row],['[Valores_cenario']]],0)</f>
        <v>0</v>
      </c>
      <c r="P240" s="6">
        <f>IF(Tabela5[[#This Row],[Dim_Cenario'[Nome Cenario']]]=Tabela5[[#Headers],[Realizado]],Tabela5[[#This Row],['[Valores_cenario']]],0)</f>
        <v>0</v>
      </c>
    </row>
    <row r="241" hidden="1" spans="1:16">
      <c r="A241" t="s">
        <v>17</v>
      </c>
      <c r="B241" t="s">
        <v>18</v>
      </c>
      <c r="C241" t="s">
        <v>37</v>
      </c>
      <c r="D241" t="s">
        <v>20</v>
      </c>
      <c r="E241">
        <v>2021</v>
      </c>
      <c r="F241" t="s">
        <v>21</v>
      </c>
      <c r="G241" t="s">
        <v>22</v>
      </c>
      <c r="H241">
        <v>10</v>
      </c>
      <c r="I241">
        <v>52673.523</v>
      </c>
      <c r="J241" t="s">
        <v>36</v>
      </c>
      <c r="K241" s="3"/>
      <c r="N241" s="6">
        <f>IF(Tabela5[[#This Row],[Dim_Cenario'[Nome Cenario']]]=Tabela5[[#Headers],[INIC Atual]],Tabela5[[#This Row],['[Valores_cenario']]],0)</f>
        <v>52673.523</v>
      </c>
      <c r="O241" s="6">
        <f>IF(Tabela5[[#This Row],[Dim_Cenario'[Nome Cenario']]]=Tabela5[[#Headers],[Revisado]],Tabela5[[#This Row],['[Valores_cenario']]],0)</f>
        <v>0</v>
      </c>
      <c r="P241" s="6">
        <f>IF(Tabela5[[#This Row],[Dim_Cenario'[Nome Cenario']]]=Tabela5[[#Headers],[Realizado]],Tabela5[[#This Row],['[Valores_cenario']]],0)</f>
        <v>0</v>
      </c>
    </row>
    <row r="242" hidden="1" spans="1:16">
      <c r="A242" t="s">
        <v>17</v>
      </c>
      <c r="B242" t="s">
        <v>18</v>
      </c>
      <c r="C242" t="s">
        <v>37</v>
      </c>
      <c r="D242" t="s">
        <v>20</v>
      </c>
      <c r="E242">
        <v>2021</v>
      </c>
      <c r="F242" t="s">
        <v>21</v>
      </c>
      <c r="G242" t="s">
        <v>24</v>
      </c>
      <c r="H242">
        <v>11</v>
      </c>
      <c r="I242">
        <v>16849.711</v>
      </c>
      <c r="J242" t="s">
        <v>36</v>
      </c>
      <c r="K242" s="3"/>
      <c r="N242" s="6">
        <f>IF(Tabela5[[#This Row],[Dim_Cenario'[Nome Cenario']]]=Tabela5[[#Headers],[INIC Atual]],Tabela5[[#This Row],['[Valores_cenario']]],0)</f>
        <v>16849.711</v>
      </c>
      <c r="O242" s="6">
        <f>IF(Tabela5[[#This Row],[Dim_Cenario'[Nome Cenario']]]=Tabela5[[#Headers],[Revisado]],Tabela5[[#This Row],['[Valores_cenario']]],0)</f>
        <v>0</v>
      </c>
      <c r="P242" s="6">
        <f>IF(Tabela5[[#This Row],[Dim_Cenario'[Nome Cenario']]]=Tabela5[[#Headers],[Realizado]],Tabela5[[#This Row],['[Valores_cenario']]],0)</f>
        <v>0</v>
      </c>
    </row>
    <row r="243" hidden="1" spans="1:16">
      <c r="A243" t="s">
        <v>17</v>
      </c>
      <c r="B243" t="s">
        <v>18</v>
      </c>
      <c r="C243" t="s">
        <v>37</v>
      </c>
      <c r="D243" t="s">
        <v>20</v>
      </c>
      <c r="E243">
        <v>2021</v>
      </c>
      <c r="F243" t="s">
        <v>21</v>
      </c>
      <c r="G243" t="s">
        <v>32</v>
      </c>
      <c r="H243">
        <v>12</v>
      </c>
      <c r="I243">
        <v>10308.222</v>
      </c>
      <c r="J243" t="s">
        <v>36</v>
      </c>
      <c r="K243" s="3"/>
      <c r="N243" s="6">
        <f>IF(Tabela5[[#This Row],[Dim_Cenario'[Nome Cenario']]]=Tabela5[[#Headers],[INIC Atual]],Tabela5[[#This Row],['[Valores_cenario']]],0)</f>
        <v>10308.222</v>
      </c>
      <c r="O243" s="6">
        <f>IF(Tabela5[[#This Row],[Dim_Cenario'[Nome Cenario']]]=Tabela5[[#Headers],[Revisado]],Tabela5[[#This Row],['[Valores_cenario']]],0)</f>
        <v>0</v>
      </c>
      <c r="P243" s="6">
        <f>IF(Tabela5[[#This Row],[Dim_Cenario'[Nome Cenario']]]=Tabela5[[#Headers],[Realizado]],Tabela5[[#This Row],['[Valores_cenario']]],0)</f>
        <v>0</v>
      </c>
    </row>
    <row r="244" hidden="1" spans="1:16">
      <c r="A244" t="s">
        <v>17</v>
      </c>
      <c r="B244" t="s">
        <v>18</v>
      </c>
      <c r="C244" t="s">
        <v>37</v>
      </c>
      <c r="D244" t="s">
        <v>14</v>
      </c>
      <c r="E244">
        <v>2021</v>
      </c>
      <c r="F244" t="s">
        <v>25</v>
      </c>
      <c r="G244" t="s">
        <v>35</v>
      </c>
      <c r="H244">
        <v>1</v>
      </c>
      <c r="I244">
        <v>10952.7</v>
      </c>
      <c r="J244" t="s">
        <v>36</v>
      </c>
      <c r="K244" s="3"/>
      <c r="N244" s="6">
        <f>IF(Tabela5[[#This Row],[Dim_Cenario'[Nome Cenario']]]=Tabela5[[#Headers],[INIC Atual]],Tabela5[[#This Row],['[Valores_cenario']]],0)</f>
        <v>0</v>
      </c>
      <c r="O244" s="6">
        <f>IF(Tabela5[[#This Row],[Dim_Cenario'[Nome Cenario']]]=Tabela5[[#Headers],[Revisado]],Tabela5[[#This Row],['[Valores_cenario']]],0)</f>
        <v>10952.7</v>
      </c>
      <c r="P244" s="6">
        <f>IF(Tabela5[[#This Row],[Dim_Cenario'[Nome Cenario']]]=Tabela5[[#Headers],[Realizado]],Tabela5[[#This Row],['[Valores_cenario']]],0)</f>
        <v>0</v>
      </c>
    </row>
    <row r="245" hidden="1" spans="1:16">
      <c r="A245" t="s">
        <v>17</v>
      </c>
      <c r="B245" t="s">
        <v>18</v>
      </c>
      <c r="C245" t="s">
        <v>37</v>
      </c>
      <c r="D245" t="s">
        <v>14</v>
      </c>
      <c r="E245">
        <v>2021</v>
      </c>
      <c r="F245" t="s">
        <v>25</v>
      </c>
      <c r="G245" t="s">
        <v>26</v>
      </c>
      <c r="H245">
        <v>2</v>
      </c>
      <c r="I245">
        <v>10952.7</v>
      </c>
      <c r="J245" t="s">
        <v>36</v>
      </c>
      <c r="K245" s="3"/>
      <c r="N245" s="6">
        <f>IF(Tabela5[[#This Row],[Dim_Cenario'[Nome Cenario']]]=Tabela5[[#Headers],[INIC Atual]],Tabela5[[#This Row],['[Valores_cenario']]],0)</f>
        <v>0</v>
      </c>
      <c r="O245" s="6">
        <f>IF(Tabela5[[#This Row],[Dim_Cenario'[Nome Cenario']]]=Tabela5[[#Headers],[Revisado]],Tabela5[[#This Row],['[Valores_cenario']]],0)</f>
        <v>10952.7</v>
      </c>
      <c r="P245" s="6">
        <f>IF(Tabela5[[#This Row],[Dim_Cenario'[Nome Cenario']]]=Tabela5[[#Headers],[Realizado]],Tabela5[[#This Row],['[Valores_cenario']]],0)</f>
        <v>0</v>
      </c>
    </row>
    <row r="246" hidden="1" spans="1:16">
      <c r="A246" t="s">
        <v>17</v>
      </c>
      <c r="B246" t="s">
        <v>18</v>
      </c>
      <c r="C246" t="s">
        <v>37</v>
      </c>
      <c r="D246" t="s">
        <v>14</v>
      </c>
      <c r="E246">
        <v>2021</v>
      </c>
      <c r="F246" t="s">
        <v>25</v>
      </c>
      <c r="G246" t="s">
        <v>38</v>
      </c>
      <c r="H246">
        <v>3</v>
      </c>
      <c r="I246">
        <v>26952.7</v>
      </c>
      <c r="J246" t="s">
        <v>36</v>
      </c>
      <c r="K246" s="3"/>
      <c r="N246" s="6">
        <f>IF(Tabela5[[#This Row],[Dim_Cenario'[Nome Cenario']]]=Tabela5[[#Headers],[INIC Atual]],Tabela5[[#This Row],['[Valores_cenario']]],0)</f>
        <v>0</v>
      </c>
      <c r="O246" s="6">
        <f>IF(Tabela5[[#This Row],[Dim_Cenario'[Nome Cenario']]]=Tabela5[[#Headers],[Revisado]],Tabela5[[#This Row],['[Valores_cenario']]],0)</f>
        <v>26952.7</v>
      </c>
      <c r="P246" s="6">
        <f>IF(Tabela5[[#This Row],[Dim_Cenario'[Nome Cenario']]]=Tabela5[[#Headers],[Realizado]],Tabela5[[#This Row],['[Valores_cenario']]],0)</f>
        <v>0</v>
      </c>
    </row>
    <row r="247" hidden="1" spans="1:16">
      <c r="A247" t="s">
        <v>17</v>
      </c>
      <c r="B247" t="s">
        <v>18</v>
      </c>
      <c r="C247" t="s">
        <v>37</v>
      </c>
      <c r="D247" t="s">
        <v>14</v>
      </c>
      <c r="E247">
        <v>2021</v>
      </c>
      <c r="F247" t="s">
        <v>27</v>
      </c>
      <c r="G247" t="s">
        <v>28</v>
      </c>
      <c r="H247">
        <v>4</v>
      </c>
      <c r="I247">
        <v>52309.93</v>
      </c>
      <c r="J247" t="s">
        <v>36</v>
      </c>
      <c r="K247" s="3"/>
      <c r="N247" s="6">
        <f>IF(Tabela5[[#This Row],[Dim_Cenario'[Nome Cenario']]]=Tabela5[[#Headers],[INIC Atual]],Tabela5[[#This Row],['[Valores_cenario']]],0)</f>
        <v>0</v>
      </c>
      <c r="O247" s="6">
        <f>IF(Tabela5[[#This Row],[Dim_Cenario'[Nome Cenario']]]=Tabela5[[#Headers],[Revisado]],Tabela5[[#This Row],['[Valores_cenario']]],0)</f>
        <v>52309.93</v>
      </c>
      <c r="P247" s="6">
        <f>IF(Tabela5[[#This Row],[Dim_Cenario'[Nome Cenario']]]=Tabela5[[#Headers],[Realizado]],Tabela5[[#This Row],['[Valores_cenario']]],0)</f>
        <v>0</v>
      </c>
    </row>
    <row r="248" hidden="1" spans="1:16">
      <c r="A248" t="s">
        <v>17</v>
      </c>
      <c r="B248" t="s">
        <v>18</v>
      </c>
      <c r="C248" t="s">
        <v>37</v>
      </c>
      <c r="D248" t="s">
        <v>14</v>
      </c>
      <c r="E248">
        <v>2021</v>
      </c>
      <c r="F248" t="s">
        <v>27</v>
      </c>
      <c r="G248" t="s">
        <v>39</v>
      </c>
      <c r="H248">
        <v>5</v>
      </c>
      <c r="I248">
        <v>17458.33</v>
      </c>
      <c r="J248" t="s">
        <v>36</v>
      </c>
      <c r="K248" s="3"/>
      <c r="N248" s="6">
        <f>IF(Tabela5[[#This Row],[Dim_Cenario'[Nome Cenario']]]=Tabela5[[#Headers],[INIC Atual]],Tabela5[[#This Row],['[Valores_cenario']]],0)</f>
        <v>0</v>
      </c>
      <c r="O248" s="6">
        <f>IF(Tabela5[[#This Row],[Dim_Cenario'[Nome Cenario']]]=Tabela5[[#Headers],[Revisado]],Tabela5[[#This Row],['[Valores_cenario']]],0)</f>
        <v>17458.33</v>
      </c>
      <c r="P248" s="6">
        <f>IF(Tabela5[[#This Row],[Dim_Cenario'[Nome Cenario']]]=Tabela5[[#Headers],[Realizado]],Tabela5[[#This Row],['[Valores_cenario']]],0)</f>
        <v>0</v>
      </c>
    </row>
    <row r="249" hidden="1" spans="1:16">
      <c r="A249" t="s">
        <v>17</v>
      </c>
      <c r="B249" t="s">
        <v>18</v>
      </c>
      <c r="C249" t="s">
        <v>37</v>
      </c>
      <c r="D249" t="s">
        <v>14</v>
      </c>
      <c r="E249">
        <v>2021</v>
      </c>
      <c r="F249" t="s">
        <v>27</v>
      </c>
      <c r="G249" t="s">
        <v>29</v>
      </c>
      <c r="H249">
        <v>6</v>
      </c>
      <c r="I249">
        <v>21454.93</v>
      </c>
      <c r="J249" t="s">
        <v>36</v>
      </c>
      <c r="K249" s="3"/>
      <c r="N249" s="6">
        <f>IF(Tabela5[[#This Row],[Dim_Cenario'[Nome Cenario']]]=Tabela5[[#Headers],[INIC Atual]],Tabela5[[#This Row],['[Valores_cenario']]],0)</f>
        <v>0</v>
      </c>
      <c r="O249" s="6">
        <f>IF(Tabela5[[#This Row],[Dim_Cenario'[Nome Cenario']]]=Tabela5[[#Headers],[Revisado]],Tabela5[[#This Row],['[Valores_cenario']]],0)</f>
        <v>21454.93</v>
      </c>
      <c r="P249" s="6">
        <f>IF(Tabela5[[#This Row],[Dim_Cenario'[Nome Cenario']]]=Tabela5[[#Headers],[Realizado]],Tabela5[[#This Row],['[Valores_cenario']]],0)</f>
        <v>0</v>
      </c>
    </row>
    <row r="250" hidden="1" spans="1:16">
      <c r="A250" t="s">
        <v>17</v>
      </c>
      <c r="B250" t="s">
        <v>18</v>
      </c>
      <c r="C250" t="s">
        <v>37</v>
      </c>
      <c r="D250" t="s">
        <v>14</v>
      </c>
      <c r="E250">
        <v>2021</v>
      </c>
      <c r="F250" t="s">
        <v>30</v>
      </c>
      <c r="G250" t="s">
        <v>40</v>
      </c>
      <c r="H250">
        <v>7</v>
      </c>
      <c r="I250">
        <v>15454.93</v>
      </c>
      <c r="J250" t="s">
        <v>36</v>
      </c>
      <c r="K250" s="3"/>
      <c r="N250" s="6">
        <f>IF(Tabela5[[#This Row],[Dim_Cenario'[Nome Cenario']]]=Tabela5[[#Headers],[INIC Atual]],Tabela5[[#This Row],['[Valores_cenario']]],0)</f>
        <v>0</v>
      </c>
      <c r="O250" s="6">
        <f>IF(Tabela5[[#This Row],[Dim_Cenario'[Nome Cenario']]]=Tabela5[[#Headers],[Revisado]],Tabela5[[#This Row],['[Valores_cenario']]],0)</f>
        <v>15454.93</v>
      </c>
      <c r="P250" s="6">
        <f>IF(Tabela5[[#This Row],[Dim_Cenario'[Nome Cenario']]]=Tabela5[[#Headers],[Realizado]],Tabela5[[#This Row],['[Valores_cenario']]],0)</f>
        <v>0</v>
      </c>
    </row>
    <row r="251" hidden="1" spans="1:16">
      <c r="A251" t="s">
        <v>17</v>
      </c>
      <c r="B251" t="s">
        <v>18</v>
      </c>
      <c r="C251" t="s">
        <v>37</v>
      </c>
      <c r="D251" t="s">
        <v>14</v>
      </c>
      <c r="E251">
        <v>2021</v>
      </c>
      <c r="F251" t="s">
        <v>30</v>
      </c>
      <c r="G251" t="s">
        <v>31</v>
      </c>
      <c r="H251">
        <v>8</v>
      </c>
      <c r="I251">
        <v>15454.93</v>
      </c>
      <c r="J251" t="s">
        <v>36</v>
      </c>
      <c r="K251" s="3"/>
      <c r="N251" s="6">
        <f>IF(Tabela5[[#This Row],[Dim_Cenario'[Nome Cenario']]]=Tabela5[[#Headers],[INIC Atual]],Tabela5[[#This Row],['[Valores_cenario']]],0)</f>
        <v>0</v>
      </c>
      <c r="O251" s="6">
        <f>IF(Tabela5[[#This Row],[Dim_Cenario'[Nome Cenario']]]=Tabela5[[#Headers],[Revisado]],Tabela5[[#This Row],['[Valores_cenario']]],0)</f>
        <v>15454.93</v>
      </c>
      <c r="P251" s="6">
        <f>IF(Tabela5[[#This Row],[Dim_Cenario'[Nome Cenario']]]=Tabela5[[#Headers],[Realizado]],Tabela5[[#This Row],['[Valores_cenario']]],0)</f>
        <v>0</v>
      </c>
    </row>
    <row r="252" hidden="1" spans="1:16">
      <c r="A252" t="s">
        <v>17</v>
      </c>
      <c r="B252" t="s">
        <v>18</v>
      </c>
      <c r="C252" t="s">
        <v>37</v>
      </c>
      <c r="D252" t="s">
        <v>14</v>
      </c>
      <c r="E252">
        <v>2021</v>
      </c>
      <c r="F252" t="s">
        <v>30</v>
      </c>
      <c r="G252" t="s">
        <v>41</v>
      </c>
      <c r="H252">
        <v>9</v>
      </c>
      <c r="I252">
        <v>21454.93</v>
      </c>
      <c r="J252" t="s">
        <v>36</v>
      </c>
      <c r="K252" s="3"/>
      <c r="N252" s="6">
        <f>IF(Tabela5[[#This Row],[Dim_Cenario'[Nome Cenario']]]=Tabela5[[#Headers],[INIC Atual]],Tabela5[[#This Row],['[Valores_cenario']]],0)</f>
        <v>0</v>
      </c>
      <c r="O252" s="6">
        <f>IF(Tabela5[[#This Row],[Dim_Cenario'[Nome Cenario']]]=Tabela5[[#Headers],[Revisado]],Tabela5[[#This Row],['[Valores_cenario']]],0)</f>
        <v>21454.93</v>
      </c>
      <c r="P252" s="6">
        <f>IF(Tabela5[[#This Row],[Dim_Cenario'[Nome Cenario']]]=Tabela5[[#Headers],[Realizado]],Tabela5[[#This Row],['[Valores_cenario']]],0)</f>
        <v>0</v>
      </c>
    </row>
    <row r="253" hidden="1" spans="1:16">
      <c r="A253" t="s">
        <v>17</v>
      </c>
      <c r="B253" t="s">
        <v>18</v>
      </c>
      <c r="C253" t="s">
        <v>37</v>
      </c>
      <c r="D253" t="s">
        <v>14</v>
      </c>
      <c r="E253">
        <v>2021</v>
      </c>
      <c r="F253" t="s">
        <v>21</v>
      </c>
      <c r="G253" t="s">
        <v>22</v>
      </c>
      <c r="H253">
        <v>10</v>
      </c>
      <c r="I253">
        <v>54313.33</v>
      </c>
      <c r="J253" t="s">
        <v>36</v>
      </c>
      <c r="K253" s="3"/>
      <c r="N253" s="6">
        <f>IF(Tabela5[[#This Row],[Dim_Cenario'[Nome Cenario']]]=Tabela5[[#Headers],[INIC Atual]],Tabela5[[#This Row],['[Valores_cenario']]],0)</f>
        <v>0</v>
      </c>
      <c r="O253" s="6">
        <f>IF(Tabela5[[#This Row],[Dim_Cenario'[Nome Cenario']]]=Tabela5[[#Headers],[Revisado]],Tabela5[[#This Row],['[Valores_cenario']]],0)</f>
        <v>54313.33</v>
      </c>
      <c r="P253" s="6">
        <f>IF(Tabela5[[#This Row],[Dim_Cenario'[Nome Cenario']]]=Tabela5[[#Headers],[Realizado]],Tabela5[[#This Row],['[Valores_cenario']]],0)</f>
        <v>0</v>
      </c>
    </row>
    <row r="254" hidden="1" spans="1:16">
      <c r="A254" t="s">
        <v>17</v>
      </c>
      <c r="B254" t="s">
        <v>18</v>
      </c>
      <c r="C254" t="s">
        <v>37</v>
      </c>
      <c r="D254" t="s">
        <v>14</v>
      </c>
      <c r="E254">
        <v>2021</v>
      </c>
      <c r="F254" t="s">
        <v>21</v>
      </c>
      <c r="G254" t="s">
        <v>24</v>
      </c>
      <c r="H254">
        <v>11</v>
      </c>
      <c r="I254">
        <v>121454.93</v>
      </c>
      <c r="J254" t="s">
        <v>36</v>
      </c>
      <c r="K254" s="3"/>
      <c r="N254" s="6">
        <f>IF(Tabela5[[#This Row],[Dim_Cenario'[Nome Cenario']]]=Tabela5[[#Headers],[INIC Atual]],Tabela5[[#This Row],['[Valores_cenario']]],0)</f>
        <v>0</v>
      </c>
      <c r="O254" s="6">
        <f>IF(Tabela5[[#This Row],[Dim_Cenario'[Nome Cenario']]]=Tabela5[[#Headers],[Revisado]],Tabela5[[#This Row],['[Valores_cenario']]],0)</f>
        <v>121454.93</v>
      </c>
      <c r="P254" s="6">
        <f>IF(Tabela5[[#This Row],[Dim_Cenario'[Nome Cenario']]]=Tabela5[[#Headers],[Realizado]],Tabela5[[#This Row],['[Valores_cenario']]],0)</f>
        <v>0</v>
      </c>
    </row>
    <row r="255" hidden="1" spans="1:16">
      <c r="A255" t="s">
        <v>17</v>
      </c>
      <c r="B255" t="s">
        <v>18</v>
      </c>
      <c r="C255" t="s">
        <v>37</v>
      </c>
      <c r="D255" t="s">
        <v>14</v>
      </c>
      <c r="E255">
        <v>2021</v>
      </c>
      <c r="F255" t="s">
        <v>21</v>
      </c>
      <c r="G255" t="s">
        <v>32</v>
      </c>
      <c r="H255">
        <v>12</v>
      </c>
      <c r="I255">
        <v>15454.93</v>
      </c>
      <c r="J255" t="s">
        <v>36</v>
      </c>
      <c r="K255" s="3"/>
      <c r="N255" s="6">
        <f>IF(Tabela5[[#This Row],[Dim_Cenario'[Nome Cenario']]]=Tabela5[[#Headers],[INIC Atual]],Tabela5[[#This Row],['[Valores_cenario']]],0)</f>
        <v>0</v>
      </c>
      <c r="O255" s="6">
        <f>IF(Tabela5[[#This Row],[Dim_Cenario'[Nome Cenario']]]=Tabela5[[#Headers],[Revisado]],Tabela5[[#This Row],['[Valores_cenario']]],0)</f>
        <v>15454.93</v>
      </c>
      <c r="P255" s="6">
        <f>IF(Tabela5[[#This Row],[Dim_Cenario'[Nome Cenario']]]=Tabela5[[#Headers],[Realizado]],Tabela5[[#This Row],['[Valores_cenario']]],0)</f>
        <v>0</v>
      </c>
    </row>
    <row r="256" spans="1:16">
      <c r="A256" t="s">
        <v>17</v>
      </c>
      <c r="B256" t="s">
        <v>18</v>
      </c>
      <c r="C256" t="s">
        <v>37</v>
      </c>
      <c r="D256" t="s">
        <v>15</v>
      </c>
      <c r="E256">
        <v>2019</v>
      </c>
      <c r="F256" t="s">
        <v>21</v>
      </c>
      <c r="G256" t="s">
        <v>32</v>
      </c>
      <c r="H256">
        <v>12</v>
      </c>
      <c r="I256">
        <v>6481</v>
      </c>
      <c r="J256" t="s">
        <v>36</v>
      </c>
      <c r="K256" s="3">
        <v>43805</v>
      </c>
      <c r="L256" t="s">
        <v>48</v>
      </c>
      <c r="M256" t="s">
        <v>137</v>
      </c>
      <c r="N256" s="6">
        <f>IF(Tabela5[[#This Row],[Dim_Cenario'[Nome Cenario']]]=Tabela5[[#Headers],[INIC Atual]],Tabela5[[#This Row],['[Valores_cenario']]],0)</f>
        <v>0</v>
      </c>
      <c r="O256" s="6">
        <f>IF(Tabela5[[#This Row],[Dim_Cenario'[Nome Cenario']]]=Tabela5[[#Headers],[Revisado]],Tabela5[[#This Row],['[Valores_cenario']]],0)</f>
        <v>0</v>
      </c>
      <c r="P256" s="6">
        <f>IF(Tabela5[[#This Row],[Dim_Cenario'[Nome Cenario']]]=Tabela5[[#Headers],[Realizado]],Tabela5[[#This Row],['[Valores_cenario']]],0)</f>
        <v>6481</v>
      </c>
    </row>
    <row r="257" spans="1:16">
      <c r="A257" t="s">
        <v>17</v>
      </c>
      <c r="B257" t="s">
        <v>18</v>
      </c>
      <c r="C257" t="s">
        <v>37</v>
      </c>
      <c r="D257" t="s">
        <v>15</v>
      </c>
      <c r="E257">
        <v>2020</v>
      </c>
      <c r="F257" t="s">
        <v>25</v>
      </c>
      <c r="G257" t="s">
        <v>38</v>
      </c>
      <c r="H257">
        <v>3</v>
      </c>
      <c r="I257">
        <v>6480.1</v>
      </c>
      <c r="J257" t="s">
        <v>36</v>
      </c>
      <c r="K257" s="3">
        <v>43906</v>
      </c>
      <c r="L257" t="s">
        <v>48</v>
      </c>
      <c r="M257" t="s">
        <v>138</v>
      </c>
      <c r="N257" s="6">
        <f>IF(Tabela5[[#This Row],[Dim_Cenario'[Nome Cenario']]]=Tabela5[[#Headers],[INIC Atual]],Tabela5[[#This Row],['[Valores_cenario']]],0)</f>
        <v>0</v>
      </c>
      <c r="O257" s="6">
        <f>IF(Tabela5[[#This Row],[Dim_Cenario'[Nome Cenario']]]=Tabela5[[#Headers],[Revisado]],Tabela5[[#This Row],['[Valores_cenario']]],0)</f>
        <v>0</v>
      </c>
      <c r="P257" s="6">
        <f>IF(Tabela5[[#This Row],[Dim_Cenario'[Nome Cenario']]]=Tabela5[[#Headers],[Realizado]],Tabela5[[#This Row],['[Valores_cenario']]],0)</f>
        <v>6480.1</v>
      </c>
    </row>
    <row r="258" spans="1:16">
      <c r="A258" t="s">
        <v>17</v>
      </c>
      <c r="B258" t="s">
        <v>18</v>
      </c>
      <c r="C258" t="s">
        <v>37</v>
      </c>
      <c r="D258" t="s">
        <v>15</v>
      </c>
      <c r="E258">
        <v>2020</v>
      </c>
      <c r="F258" t="s">
        <v>30</v>
      </c>
      <c r="G258" t="s">
        <v>41</v>
      </c>
      <c r="H258">
        <v>9</v>
      </c>
      <c r="I258">
        <v>6217.98</v>
      </c>
      <c r="J258" t="s">
        <v>36</v>
      </c>
      <c r="K258" s="3">
        <v>44088</v>
      </c>
      <c r="L258" t="s">
        <v>44</v>
      </c>
      <c r="M258" t="s">
        <v>139</v>
      </c>
      <c r="N258" s="6">
        <f>IF(Tabela5[[#This Row],[Dim_Cenario'[Nome Cenario']]]=Tabela5[[#Headers],[INIC Atual]],Tabela5[[#This Row],['[Valores_cenario']]],0)</f>
        <v>0</v>
      </c>
      <c r="O258" s="6">
        <f>IF(Tabela5[[#This Row],[Dim_Cenario'[Nome Cenario']]]=Tabela5[[#Headers],[Revisado]],Tabela5[[#This Row],['[Valores_cenario']]],0)</f>
        <v>0</v>
      </c>
      <c r="P258" s="6">
        <f>IF(Tabela5[[#This Row],[Dim_Cenario'[Nome Cenario']]]=Tabela5[[#Headers],[Realizado]],Tabela5[[#This Row],['[Valores_cenario']]],0)</f>
        <v>6217.98</v>
      </c>
    </row>
    <row r="259" spans="1:16">
      <c r="A259" t="s">
        <v>17</v>
      </c>
      <c r="B259" t="s">
        <v>18</v>
      </c>
      <c r="C259" t="s">
        <v>37</v>
      </c>
      <c r="D259" t="s">
        <v>15</v>
      </c>
      <c r="E259">
        <v>2020</v>
      </c>
      <c r="F259" t="s">
        <v>27</v>
      </c>
      <c r="G259" t="s">
        <v>28</v>
      </c>
      <c r="H259">
        <v>4</v>
      </c>
      <c r="I259">
        <v>6194.16</v>
      </c>
      <c r="J259" t="s">
        <v>36</v>
      </c>
      <c r="K259" s="3">
        <v>43936</v>
      </c>
      <c r="L259" t="s">
        <v>109</v>
      </c>
      <c r="M259" t="s">
        <v>140</v>
      </c>
      <c r="N259" s="6">
        <f>IF(Tabela5[[#This Row],[Dim_Cenario'[Nome Cenario']]]=Tabela5[[#Headers],[INIC Atual]],Tabela5[[#This Row],['[Valores_cenario']]],0)</f>
        <v>0</v>
      </c>
      <c r="O259" s="6">
        <f>IF(Tabela5[[#This Row],[Dim_Cenario'[Nome Cenario']]]=Tabela5[[#Headers],[Revisado]],Tabela5[[#This Row],['[Valores_cenario']]],0)</f>
        <v>0</v>
      </c>
      <c r="P259" s="6">
        <f>IF(Tabela5[[#This Row],[Dim_Cenario'[Nome Cenario']]]=Tabela5[[#Headers],[Realizado]],Tabela5[[#This Row],['[Valores_cenario']]],0)</f>
        <v>6194.16</v>
      </c>
    </row>
    <row r="260" hidden="1" spans="1:16">
      <c r="A260" t="s">
        <v>17</v>
      </c>
      <c r="B260" t="s">
        <v>18</v>
      </c>
      <c r="C260" t="s">
        <v>37</v>
      </c>
      <c r="D260" t="s">
        <v>15</v>
      </c>
      <c r="E260">
        <v>2021</v>
      </c>
      <c r="F260" t="s">
        <v>25</v>
      </c>
      <c r="G260" t="s">
        <v>38</v>
      </c>
      <c r="H260">
        <v>3</v>
      </c>
      <c r="I260">
        <v>42974.95</v>
      </c>
      <c r="J260" t="s">
        <v>36</v>
      </c>
      <c r="K260" s="3">
        <v>44286</v>
      </c>
      <c r="L260" t="s">
        <v>127</v>
      </c>
      <c r="M260" t="s">
        <v>141</v>
      </c>
      <c r="N260" s="6">
        <f>IF(Tabela5[[#This Row],[Dim_Cenario'[Nome Cenario']]]=Tabela5[[#Headers],[INIC Atual]],Tabela5[[#This Row],['[Valores_cenario']]],0)</f>
        <v>0</v>
      </c>
      <c r="O260" s="6">
        <f>IF(Tabela5[[#This Row],[Dim_Cenario'[Nome Cenario']]]=Tabela5[[#Headers],[Revisado]],Tabela5[[#This Row],['[Valores_cenario']]],0)</f>
        <v>0</v>
      </c>
      <c r="P260" s="6">
        <f>IF(Tabela5[[#This Row],[Dim_Cenario'[Nome Cenario']]]=Tabela5[[#Headers],[Realizado]],Tabela5[[#This Row],['[Valores_cenario']]],0)</f>
        <v>42974.95</v>
      </c>
    </row>
    <row r="261" hidden="1" spans="1:16">
      <c r="A261" t="s">
        <v>17</v>
      </c>
      <c r="B261" t="s">
        <v>18</v>
      </c>
      <c r="C261" t="s">
        <v>37</v>
      </c>
      <c r="D261" t="s">
        <v>15</v>
      </c>
      <c r="E261">
        <v>2021</v>
      </c>
      <c r="F261" t="s">
        <v>27</v>
      </c>
      <c r="G261" t="s">
        <v>28</v>
      </c>
      <c r="H261">
        <v>4</v>
      </c>
      <c r="I261">
        <v>38000</v>
      </c>
      <c r="J261" t="s">
        <v>36</v>
      </c>
      <c r="K261" s="3">
        <v>44302</v>
      </c>
      <c r="L261" t="s">
        <v>142</v>
      </c>
      <c r="M261" t="s">
        <v>143</v>
      </c>
      <c r="N261" s="6">
        <f>IF(Tabela5[[#This Row],[Dim_Cenario'[Nome Cenario']]]=Tabela5[[#Headers],[INIC Atual]],Tabela5[[#This Row],['[Valores_cenario']]],0)</f>
        <v>0</v>
      </c>
      <c r="O261" s="6">
        <f>IF(Tabela5[[#This Row],[Dim_Cenario'[Nome Cenario']]]=Tabela5[[#Headers],[Revisado]],Tabela5[[#This Row],['[Valores_cenario']]],0)</f>
        <v>0</v>
      </c>
      <c r="P261" s="6">
        <f>IF(Tabela5[[#This Row],[Dim_Cenario'[Nome Cenario']]]=Tabela5[[#Headers],[Realizado]],Tabela5[[#This Row],['[Valores_cenario']]],0)</f>
        <v>38000</v>
      </c>
    </row>
    <row r="262" hidden="1" spans="1:16">
      <c r="A262" t="s">
        <v>17</v>
      </c>
      <c r="B262" t="s">
        <v>18</v>
      </c>
      <c r="C262" t="s">
        <v>96</v>
      </c>
      <c r="D262" t="s">
        <v>14</v>
      </c>
      <c r="E262">
        <v>2022</v>
      </c>
      <c r="F262" t="s">
        <v>25</v>
      </c>
      <c r="G262" t="s">
        <v>38</v>
      </c>
      <c r="H262">
        <v>3</v>
      </c>
      <c r="I262">
        <v>74920.63</v>
      </c>
      <c r="J262" t="s">
        <v>23</v>
      </c>
      <c r="K262" s="3"/>
      <c r="N262" s="6">
        <f>IF(Tabela5[[#This Row],[Dim_Cenario'[Nome Cenario']]]=Tabela5[[#Headers],[INIC Atual]],Tabela5[[#This Row],['[Valores_cenario']]],0)</f>
        <v>0</v>
      </c>
      <c r="O262" s="6">
        <f>IF(Tabela5[[#This Row],[Dim_Cenario'[Nome Cenario']]]=Tabela5[[#Headers],[Revisado]],Tabela5[[#This Row],['[Valores_cenario']]],0)</f>
        <v>74920.63</v>
      </c>
      <c r="P262" s="6">
        <f>IF(Tabela5[[#This Row],[Dim_Cenario'[Nome Cenario']]]=Tabela5[[#Headers],[Realizado]],Tabela5[[#This Row],['[Valores_cenario']]],0)</f>
        <v>0</v>
      </c>
    </row>
    <row r="263" hidden="1" spans="1:16">
      <c r="A263" t="s">
        <v>17</v>
      </c>
      <c r="B263" t="s">
        <v>18</v>
      </c>
      <c r="C263" t="s">
        <v>96</v>
      </c>
      <c r="D263" t="s">
        <v>14</v>
      </c>
      <c r="E263">
        <v>2022</v>
      </c>
      <c r="F263" t="s">
        <v>27</v>
      </c>
      <c r="G263" t="s">
        <v>28</v>
      </c>
      <c r="H263">
        <v>4</v>
      </c>
      <c r="I263">
        <v>104731.63</v>
      </c>
      <c r="J263" t="s">
        <v>23</v>
      </c>
      <c r="K263" s="3"/>
      <c r="N263" s="6">
        <f>IF(Tabela5[[#This Row],[Dim_Cenario'[Nome Cenario']]]=Tabela5[[#Headers],[INIC Atual]],Tabela5[[#This Row],['[Valores_cenario']]],0)</f>
        <v>0</v>
      </c>
      <c r="O263" s="6">
        <f>IF(Tabela5[[#This Row],[Dim_Cenario'[Nome Cenario']]]=Tabela5[[#Headers],[Revisado]],Tabela5[[#This Row],['[Valores_cenario']]],0)</f>
        <v>104731.63</v>
      </c>
      <c r="P263" s="6">
        <f>IF(Tabela5[[#This Row],[Dim_Cenario'[Nome Cenario']]]=Tabela5[[#Headers],[Realizado]],Tabela5[[#This Row],['[Valores_cenario']]],0)</f>
        <v>0</v>
      </c>
    </row>
    <row r="264" hidden="1" spans="1:16">
      <c r="A264" t="s">
        <v>17</v>
      </c>
      <c r="B264" t="s">
        <v>18</v>
      </c>
      <c r="C264" t="s">
        <v>96</v>
      </c>
      <c r="D264" t="s">
        <v>14</v>
      </c>
      <c r="E264">
        <v>2022</v>
      </c>
      <c r="F264" t="s">
        <v>21</v>
      </c>
      <c r="G264" t="s">
        <v>24</v>
      </c>
      <c r="H264">
        <v>11</v>
      </c>
      <c r="I264">
        <v>104707</v>
      </c>
      <c r="J264" t="s">
        <v>23</v>
      </c>
      <c r="K264" s="3"/>
      <c r="N264" s="6">
        <f>IF(Tabela5[[#This Row],[Dim_Cenario'[Nome Cenario']]]=Tabela5[[#Headers],[INIC Atual]],Tabela5[[#This Row],['[Valores_cenario']]],0)</f>
        <v>0</v>
      </c>
      <c r="O264" s="6">
        <f>IF(Tabela5[[#This Row],[Dim_Cenario'[Nome Cenario']]]=Tabela5[[#Headers],[Revisado]],Tabela5[[#This Row],['[Valores_cenario']]],0)</f>
        <v>104707</v>
      </c>
      <c r="P264" s="6">
        <f>IF(Tabela5[[#This Row],[Dim_Cenario'[Nome Cenario']]]=Tabela5[[#Headers],[Realizado]],Tabela5[[#This Row],['[Valores_cenario']]],0)</f>
        <v>0</v>
      </c>
    </row>
    <row r="265" hidden="1" spans="1:16">
      <c r="A265" t="s">
        <v>17</v>
      </c>
      <c r="B265" t="s">
        <v>18</v>
      </c>
      <c r="C265" t="s">
        <v>96</v>
      </c>
      <c r="D265" t="s">
        <v>14</v>
      </c>
      <c r="E265">
        <v>2023</v>
      </c>
      <c r="F265" t="s">
        <v>25</v>
      </c>
      <c r="G265" t="s">
        <v>26</v>
      </c>
      <c r="H265">
        <v>2</v>
      </c>
      <c r="I265">
        <v>167531.47</v>
      </c>
      <c r="J265" t="s">
        <v>23</v>
      </c>
      <c r="K265" s="3"/>
      <c r="N265" s="6">
        <f>IF(Tabela5[[#This Row],[Dim_Cenario'[Nome Cenario']]]=Tabela5[[#Headers],[INIC Atual]],Tabela5[[#This Row],['[Valores_cenario']]],0)</f>
        <v>0</v>
      </c>
      <c r="O265" s="6">
        <f>IF(Tabela5[[#This Row],[Dim_Cenario'[Nome Cenario']]]=Tabela5[[#Headers],[Revisado]],Tabela5[[#This Row],['[Valores_cenario']]],0)</f>
        <v>167531.47</v>
      </c>
      <c r="P265" s="6">
        <f>IF(Tabela5[[#This Row],[Dim_Cenario'[Nome Cenario']]]=Tabela5[[#Headers],[Realizado]],Tabela5[[#This Row],['[Valores_cenario']]],0)</f>
        <v>0</v>
      </c>
    </row>
    <row r="266" hidden="1" spans="1:16">
      <c r="A266" t="s">
        <v>17</v>
      </c>
      <c r="B266" t="s">
        <v>18</v>
      </c>
      <c r="C266" t="s">
        <v>96</v>
      </c>
      <c r="D266" t="s">
        <v>14</v>
      </c>
      <c r="E266">
        <v>2023</v>
      </c>
      <c r="F266" t="s">
        <v>27</v>
      </c>
      <c r="G266" t="s">
        <v>39</v>
      </c>
      <c r="H266">
        <v>5</v>
      </c>
      <c r="I266">
        <v>146590.04</v>
      </c>
      <c r="J266" t="s">
        <v>23</v>
      </c>
      <c r="K266" s="3"/>
      <c r="N266" s="6">
        <f>IF(Tabela5[[#This Row],[Dim_Cenario'[Nome Cenario']]]=Tabela5[[#Headers],[INIC Atual]],Tabela5[[#This Row],['[Valores_cenario']]],0)</f>
        <v>0</v>
      </c>
      <c r="O266" s="6">
        <f>IF(Tabela5[[#This Row],[Dim_Cenario'[Nome Cenario']]]=Tabela5[[#Headers],[Revisado]],Tabela5[[#This Row],['[Valores_cenario']]],0)</f>
        <v>146590.04</v>
      </c>
      <c r="P266" s="6">
        <f>IF(Tabela5[[#This Row],[Dim_Cenario'[Nome Cenario']]]=Tabela5[[#Headers],[Realizado]],Tabela5[[#This Row],['[Valores_cenario']]],0)</f>
        <v>0</v>
      </c>
    </row>
    <row r="267" hidden="1" spans="1:16">
      <c r="A267" t="s">
        <v>17</v>
      </c>
      <c r="B267" t="s">
        <v>18</v>
      </c>
      <c r="C267" t="s">
        <v>96</v>
      </c>
      <c r="D267" t="s">
        <v>14</v>
      </c>
      <c r="E267">
        <v>2023</v>
      </c>
      <c r="F267" t="s">
        <v>21</v>
      </c>
      <c r="G267" t="s">
        <v>32</v>
      </c>
      <c r="H267">
        <v>12</v>
      </c>
      <c r="I267">
        <v>95730.71</v>
      </c>
      <c r="J267" t="s">
        <v>23</v>
      </c>
      <c r="K267" s="3"/>
      <c r="N267" s="6">
        <f>IF(Tabela5[[#This Row],[Dim_Cenario'[Nome Cenario']]]=Tabela5[[#Headers],[INIC Atual]],Tabela5[[#This Row],['[Valores_cenario']]],0)</f>
        <v>0</v>
      </c>
      <c r="O267" s="6">
        <f>IF(Tabela5[[#This Row],[Dim_Cenario'[Nome Cenario']]]=Tabela5[[#Headers],[Revisado]],Tabela5[[#This Row],['[Valores_cenario']]],0)</f>
        <v>95730.71</v>
      </c>
      <c r="P267" s="6">
        <f>IF(Tabela5[[#This Row],[Dim_Cenario'[Nome Cenario']]]=Tabela5[[#Headers],[Realizado]],Tabela5[[#This Row],['[Valores_cenario']]],0)</f>
        <v>0</v>
      </c>
    </row>
    <row r="268" hidden="1" spans="1:16">
      <c r="A268" t="s">
        <v>17</v>
      </c>
      <c r="B268" t="s">
        <v>18</v>
      </c>
      <c r="C268" t="s">
        <v>96</v>
      </c>
      <c r="D268" t="s">
        <v>14</v>
      </c>
      <c r="E268">
        <v>2024</v>
      </c>
      <c r="F268" t="s">
        <v>25</v>
      </c>
      <c r="G268" t="s">
        <v>38</v>
      </c>
      <c r="H268">
        <v>3</v>
      </c>
      <c r="I268">
        <v>153169.13</v>
      </c>
      <c r="J268" t="s">
        <v>23</v>
      </c>
      <c r="K268" s="3"/>
      <c r="N268" s="6">
        <f>IF(Tabela5[[#This Row],[Dim_Cenario'[Nome Cenario']]]=Tabela5[[#Headers],[INIC Atual]],Tabela5[[#This Row],['[Valores_cenario']]],0)</f>
        <v>0</v>
      </c>
      <c r="O268" s="6">
        <f>IF(Tabela5[[#This Row],[Dim_Cenario'[Nome Cenario']]]=Tabela5[[#Headers],[Revisado]],Tabela5[[#This Row],['[Valores_cenario']]],0)</f>
        <v>153169.13</v>
      </c>
      <c r="P268" s="6">
        <f>IF(Tabela5[[#This Row],[Dim_Cenario'[Nome Cenario']]]=Tabela5[[#Headers],[Realizado]],Tabela5[[#This Row],['[Valores_cenario']]],0)</f>
        <v>0</v>
      </c>
    </row>
    <row r="269" hidden="1" spans="1:16">
      <c r="A269" t="s">
        <v>17</v>
      </c>
      <c r="B269" t="s">
        <v>18</v>
      </c>
      <c r="C269" t="s">
        <v>96</v>
      </c>
      <c r="D269" t="s">
        <v>14</v>
      </c>
      <c r="E269">
        <v>2024</v>
      </c>
      <c r="F269" t="s">
        <v>27</v>
      </c>
      <c r="G269" t="s">
        <v>39</v>
      </c>
      <c r="H269">
        <v>5</v>
      </c>
      <c r="I269">
        <v>134023.84</v>
      </c>
      <c r="J269" t="s">
        <v>23</v>
      </c>
      <c r="K269" s="3"/>
      <c r="N269" s="6">
        <f>IF(Tabela5[[#This Row],[Dim_Cenario'[Nome Cenario']]]=Tabela5[[#Headers],[INIC Atual]],Tabela5[[#This Row],['[Valores_cenario']]],0)</f>
        <v>0</v>
      </c>
      <c r="O269" s="6">
        <f>IF(Tabela5[[#This Row],[Dim_Cenario'[Nome Cenario']]]=Tabela5[[#Headers],[Revisado]],Tabela5[[#This Row],['[Valores_cenario']]],0)</f>
        <v>134023.84</v>
      </c>
      <c r="P269" s="6">
        <f>IF(Tabela5[[#This Row],[Dim_Cenario'[Nome Cenario']]]=Tabela5[[#Headers],[Realizado]],Tabela5[[#This Row],['[Valores_cenario']]],0)</f>
        <v>0</v>
      </c>
    </row>
    <row r="270" hidden="1" spans="1:16">
      <c r="A270" t="s">
        <v>17</v>
      </c>
      <c r="B270" t="s">
        <v>18</v>
      </c>
      <c r="C270" t="s">
        <v>96</v>
      </c>
      <c r="D270" t="s">
        <v>14</v>
      </c>
      <c r="E270">
        <v>2024</v>
      </c>
      <c r="F270" t="s">
        <v>21</v>
      </c>
      <c r="G270" t="s">
        <v>32</v>
      </c>
      <c r="H270">
        <v>12</v>
      </c>
      <c r="I270">
        <v>100000</v>
      </c>
      <c r="J270" t="s">
        <v>23</v>
      </c>
      <c r="K270" s="3"/>
      <c r="N270" s="6">
        <f>IF(Tabela5[[#This Row],[Dim_Cenario'[Nome Cenario']]]=Tabela5[[#Headers],[INIC Atual]],Tabela5[[#This Row],['[Valores_cenario']]],0)</f>
        <v>0</v>
      </c>
      <c r="O270" s="6">
        <f>IF(Tabela5[[#This Row],[Dim_Cenario'[Nome Cenario']]]=Tabela5[[#Headers],[Revisado]],Tabela5[[#This Row],['[Valores_cenario']]],0)</f>
        <v>100000</v>
      </c>
      <c r="P270" s="6">
        <f>IF(Tabela5[[#This Row],[Dim_Cenario'[Nome Cenario']]]=Tabela5[[#Headers],[Realizado]],Tabela5[[#This Row],['[Valores_cenario']]],0)</f>
        <v>0</v>
      </c>
    </row>
    <row r="271" hidden="1" spans="1:16">
      <c r="A271" t="s">
        <v>17</v>
      </c>
      <c r="B271" t="s">
        <v>18</v>
      </c>
      <c r="C271" t="s">
        <v>96</v>
      </c>
      <c r="D271" t="s">
        <v>14</v>
      </c>
      <c r="E271">
        <v>2025</v>
      </c>
      <c r="F271" t="s">
        <v>25</v>
      </c>
      <c r="G271" t="s">
        <v>26</v>
      </c>
      <c r="H271">
        <v>2</v>
      </c>
      <c r="I271">
        <v>60641</v>
      </c>
      <c r="J271" t="s">
        <v>33</v>
      </c>
      <c r="K271" s="3"/>
      <c r="N271" s="6">
        <f>IF(Tabela5[[#This Row],[Dim_Cenario'[Nome Cenario']]]=Tabela5[[#Headers],[INIC Atual]],Tabela5[[#This Row],['[Valores_cenario']]],0)</f>
        <v>0</v>
      </c>
      <c r="O271" s="6">
        <f>IF(Tabela5[[#This Row],[Dim_Cenario'[Nome Cenario']]]=Tabela5[[#Headers],[Revisado]],Tabela5[[#This Row],['[Valores_cenario']]],0)</f>
        <v>60641</v>
      </c>
      <c r="P271" s="6">
        <f>IF(Tabela5[[#This Row],[Dim_Cenario'[Nome Cenario']]]=Tabela5[[#Headers],[Realizado]],Tabela5[[#This Row],['[Valores_cenario']]],0)</f>
        <v>0</v>
      </c>
    </row>
    <row r="272" hidden="1" spans="1:16">
      <c r="A272" t="s">
        <v>17</v>
      </c>
      <c r="B272" t="s">
        <v>18</v>
      </c>
      <c r="C272" t="s">
        <v>96</v>
      </c>
      <c r="D272" t="s">
        <v>14</v>
      </c>
      <c r="E272">
        <v>2025</v>
      </c>
      <c r="F272" t="s">
        <v>27</v>
      </c>
      <c r="G272" t="s">
        <v>39</v>
      </c>
      <c r="H272">
        <v>5</v>
      </c>
      <c r="I272">
        <v>223906.96</v>
      </c>
      <c r="J272" t="s">
        <v>33</v>
      </c>
      <c r="K272" s="3"/>
      <c r="N272" s="6">
        <f>IF(Tabela5[[#This Row],[Dim_Cenario'[Nome Cenario']]]=Tabela5[[#Headers],[INIC Atual]],Tabela5[[#This Row],['[Valores_cenario']]],0)</f>
        <v>0</v>
      </c>
      <c r="O272" s="6">
        <f>IF(Tabela5[[#This Row],[Dim_Cenario'[Nome Cenario']]]=Tabela5[[#Headers],[Revisado]],Tabela5[[#This Row],['[Valores_cenario']]],0)</f>
        <v>223906.96</v>
      </c>
      <c r="P272" s="6">
        <f>IF(Tabela5[[#This Row],[Dim_Cenario'[Nome Cenario']]]=Tabela5[[#Headers],[Realizado]],Tabela5[[#This Row],['[Valores_cenario']]],0)</f>
        <v>0</v>
      </c>
    </row>
    <row r="273" hidden="1" spans="1:16">
      <c r="A273" t="s">
        <v>17</v>
      </c>
      <c r="B273" t="s">
        <v>18</v>
      </c>
      <c r="C273" t="s">
        <v>96</v>
      </c>
      <c r="D273" t="s">
        <v>14</v>
      </c>
      <c r="E273">
        <v>2025</v>
      </c>
      <c r="F273" t="s">
        <v>30</v>
      </c>
      <c r="G273" t="s">
        <v>40</v>
      </c>
      <c r="H273">
        <v>7</v>
      </c>
      <c r="I273">
        <v>111953</v>
      </c>
      <c r="J273" t="s">
        <v>33</v>
      </c>
      <c r="K273" s="3"/>
      <c r="N273" s="6">
        <f>IF(Tabela5[[#This Row],[Dim_Cenario'[Nome Cenario']]]=Tabela5[[#Headers],[INIC Atual]],Tabela5[[#This Row],['[Valores_cenario']]],0)</f>
        <v>0</v>
      </c>
      <c r="O273" s="6">
        <f>IF(Tabela5[[#This Row],[Dim_Cenario'[Nome Cenario']]]=Tabela5[[#Headers],[Revisado]],Tabela5[[#This Row],['[Valores_cenario']]],0)</f>
        <v>111953</v>
      </c>
      <c r="P273" s="6">
        <f>IF(Tabela5[[#This Row],[Dim_Cenario'[Nome Cenario']]]=Tabela5[[#Headers],[Realizado]],Tabela5[[#This Row],['[Valores_cenario']]],0)</f>
        <v>0</v>
      </c>
    </row>
    <row r="274" hidden="1" spans="1:16">
      <c r="A274" t="s">
        <v>17</v>
      </c>
      <c r="B274" t="s">
        <v>18</v>
      </c>
      <c r="C274" t="s">
        <v>96</v>
      </c>
      <c r="D274" t="s">
        <v>14</v>
      </c>
      <c r="E274">
        <v>2025</v>
      </c>
      <c r="F274" t="s">
        <v>30</v>
      </c>
      <c r="G274" t="s">
        <v>31</v>
      </c>
      <c r="H274">
        <v>8</v>
      </c>
      <c r="I274">
        <v>55977</v>
      </c>
      <c r="J274" t="s">
        <v>33</v>
      </c>
      <c r="K274" s="3"/>
      <c r="N274" s="6">
        <f>IF(Tabela5[[#This Row],[Dim_Cenario'[Nome Cenario']]]=Tabela5[[#Headers],[INIC Atual]],Tabela5[[#This Row],['[Valores_cenario']]],0)</f>
        <v>0</v>
      </c>
      <c r="O274" s="6">
        <f>IF(Tabela5[[#This Row],[Dim_Cenario'[Nome Cenario']]]=Tabela5[[#Headers],[Revisado]],Tabela5[[#This Row],['[Valores_cenario']]],0)</f>
        <v>55977</v>
      </c>
      <c r="P274" s="6">
        <f>IF(Tabela5[[#This Row],[Dim_Cenario'[Nome Cenario']]]=Tabela5[[#Headers],[Realizado]],Tabela5[[#This Row],['[Valores_cenario']]],0)</f>
        <v>0</v>
      </c>
    </row>
    <row r="275" hidden="1" spans="1:16">
      <c r="A275" t="s">
        <v>17</v>
      </c>
      <c r="B275" t="s">
        <v>18</v>
      </c>
      <c r="C275" t="s">
        <v>96</v>
      </c>
      <c r="D275" t="s">
        <v>14</v>
      </c>
      <c r="E275">
        <v>2025</v>
      </c>
      <c r="F275" t="s">
        <v>21</v>
      </c>
      <c r="G275" t="s">
        <v>32</v>
      </c>
      <c r="H275">
        <v>12</v>
      </c>
      <c r="I275">
        <v>146356.2</v>
      </c>
      <c r="J275" t="s">
        <v>33</v>
      </c>
      <c r="K275" s="3"/>
      <c r="N275" s="6">
        <f>IF(Tabela5[[#This Row],[Dim_Cenario'[Nome Cenario']]]=Tabela5[[#Headers],[INIC Atual]],Tabela5[[#This Row],['[Valores_cenario']]],0)</f>
        <v>0</v>
      </c>
      <c r="O275" s="6">
        <f>IF(Tabela5[[#This Row],[Dim_Cenario'[Nome Cenario']]]=Tabela5[[#Headers],[Revisado]],Tabela5[[#This Row],['[Valores_cenario']]],0)</f>
        <v>146356.2</v>
      </c>
      <c r="P275" s="6">
        <f>IF(Tabela5[[#This Row],[Dim_Cenario'[Nome Cenario']]]=Tabela5[[#Headers],[Realizado]],Tabela5[[#This Row],['[Valores_cenario']]],0)</f>
        <v>0</v>
      </c>
    </row>
    <row r="276" hidden="1" spans="1:16">
      <c r="A276" t="s">
        <v>17</v>
      </c>
      <c r="B276" t="s">
        <v>18</v>
      </c>
      <c r="C276" t="s">
        <v>96</v>
      </c>
      <c r="D276" t="s">
        <v>14</v>
      </c>
      <c r="E276">
        <v>2026</v>
      </c>
      <c r="F276" t="s">
        <v>25</v>
      </c>
      <c r="G276" t="s">
        <v>35</v>
      </c>
      <c r="H276">
        <v>1</v>
      </c>
      <c r="I276">
        <v>118658.89</v>
      </c>
      <c r="J276" t="s">
        <v>33</v>
      </c>
      <c r="K276" s="3"/>
      <c r="N276" s="6">
        <f>IF(Tabela5[[#This Row],[Dim_Cenario'[Nome Cenario']]]=Tabela5[[#Headers],[INIC Atual]],Tabela5[[#This Row],['[Valores_cenario']]],0)</f>
        <v>0</v>
      </c>
      <c r="O276" s="6">
        <f>IF(Tabela5[[#This Row],[Dim_Cenario'[Nome Cenario']]]=Tabela5[[#Headers],[Revisado]],Tabela5[[#This Row],['[Valores_cenario']]],0)</f>
        <v>118658.89</v>
      </c>
      <c r="P276" s="6">
        <f>IF(Tabela5[[#This Row],[Dim_Cenario'[Nome Cenario']]]=Tabela5[[#Headers],[Realizado]],Tabela5[[#This Row],['[Valores_cenario']]],0)</f>
        <v>0</v>
      </c>
    </row>
    <row r="277" hidden="1" spans="1:16">
      <c r="A277" t="s">
        <v>17</v>
      </c>
      <c r="B277" t="s">
        <v>18</v>
      </c>
      <c r="C277" t="s">
        <v>96</v>
      </c>
      <c r="D277" t="s">
        <v>14</v>
      </c>
      <c r="E277">
        <v>2026</v>
      </c>
      <c r="F277" t="s">
        <v>25</v>
      </c>
      <c r="G277" t="s">
        <v>26</v>
      </c>
      <c r="H277">
        <v>2</v>
      </c>
      <c r="I277">
        <v>11865.89</v>
      </c>
      <c r="J277" t="s">
        <v>33</v>
      </c>
      <c r="K277" s="3"/>
      <c r="N277" s="6">
        <f>IF(Tabela5[[#This Row],[Dim_Cenario'[Nome Cenario']]]=Tabela5[[#Headers],[INIC Atual]],Tabela5[[#This Row],['[Valores_cenario']]],0)</f>
        <v>0</v>
      </c>
      <c r="O277" s="6">
        <f>IF(Tabela5[[#This Row],[Dim_Cenario'[Nome Cenario']]]=Tabela5[[#Headers],[Revisado]],Tabela5[[#This Row],['[Valores_cenario']]],0)</f>
        <v>11865.89</v>
      </c>
      <c r="P277" s="6">
        <f>IF(Tabela5[[#This Row],[Dim_Cenario'[Nome Cenario']]]=Tabela5[[#Headers],[Realizado]],Tabela5[[#This Row],['[Valores_cenario']]],0)</f>
        <v>0</v>
      </c>
    </row>
    <row r="278" hidden="1" spans="1:16">
      <c r="A278" t="s">
        <v>17</v>
      </c>
      <c r="B278" t="s">
        <v>18</v>
      </c>
      <c r="C278" t="s">
        <v>96</v>
      </c>
      <c r="D278" t="s">
        <v>14</v>
      </c>
      <c r="E278">
        <v>2026</v>
      </c>
      <c r="F278" t="s">
        <v>27</v>
      </c>
      <c r="G278" t="s">
        <v>39</v>
      </c>
      <c r="H278">
        <v>5</v>
      </c>
      <c r="I278">
        <v>210923.44</v>
      </c>
      <c r="J278" t="s">
        <v>33</v>
      </c>
      <c r="K278" s="3"/>
      <c r="N278" s="6">
        <f>IF(Tabela5[[#This Row],[Dim_Cenario'[Nome Cenario']]]=Tabela5[[#Headers],[INIC Atual]],Tabela5[[#This Row],['[Valores_cenario']]],0)</f>
        <v>0</v>
      </c>
      <c r="O278" s="6">
        <f>IF(Tabela5[[#This Row],[Dim_Cenario'[Nome Cenario']]]=Tabela5[[#Headers],[Revisado]],Tabela5[[#This Row],['[Valores_cenario']]],0)</f>
        <v>210923.44</v>
      </c>
      <c r="P278" s="6">
        <f>IF(Tabela5[[#This Row],[Dim_Cenario'[Nome Cenario']]]=Tabela5[[#Headers],[Realizado]],Tabela5[[#This Row],['[Valores_cenario']]],0)</f>
        <v>0</v>
      </c>
    </row>
    <row r="279" hidden="1" spans="1:16">
      <c r="A279" t="s">
        <v>17</v>
      </c>
      <c r="B279" t="s">
        <v>18</v>
      </c>
      <c r="C279" t="s">
        <v>96</v>
      </c>
      <c r="D279" t="s">
        <v>14</v>
      </c>
      <c r="E279">
        <v>2026</v>
      </c>
      <c r="F279" t="s">
        <v>21</v>
      </c>
      <c r="G279" t="s">
        <v>32</v>
      </c>
      <c r="H279">
        <v>12</v>
      </c>
      <c r="I279">
        <v>173257.48</v>
      </c>
      <c r="J279" t="s">
        <v>33</v>
      </c>
      <c r="K279" s="3"/>
      <c r="N279" s="6">
        <f>IF(Tabela5[[#This Row],[Dim_Cenario'[Nome Cenario']]]=Tabela5[[#Headers],[INIC Atual]],Tabela5[[#This Row],['[Valores_cenario']]],0)</f>
        <v>0</v>
      </c>
      <c r="O279" s="6">
        <f>IF(Tabela5[[#This Row],[Dim_Cenario'[Nome Cenario']]]=Tabela5[[#Headers],[Revisado]],Tabela5[[#This Row],['[Valores_cenario']]],0)</f>
        <v>173257.48</v>
      </c>
      <c r="P279" s="6">
        <f>IF(Tabela5[[#This Row],[Dim_Cenario'[Nome Cenario']]]=Tabela5[[#Headers],[Realizado]],Tabela5[[#This Row],['[Valores_cenario']]],0)</f>
        <v>0</v>
      </c>
    </row>
    <row r="280" hidden="1" spans="1:16">
      <c r="A280" t="s">
        <v>17</v>
      </c>
      <c r="B280" t="s">
        <v>18</v>
      </c>
      <c r="C280" t="s">
        <v>96</v>
      </c>
      <c r="D280" t="s">
        <v>14</v>
      </c>
      <c r="E280">
        <v>2027</v>
      </c>
      <c r="F280" t="s">
        <v>27</v>
      </c>
      <c r="G280" t="s">
        <v>39</v>
      </c>
      <c r="H280">
        <v>5</v>
      </c>
      <c r="I280">
        <v>368844.7</v>
      </c>
      <c r="J280" t="s">
        <v>33</v>
      </c>
      <c r="K280" s="3"/>
      <c r="N280" s="6">
        <f>IF(Tabela5[[#This Row],[Dim_Cenario'[Nome Cenario']]]=Tabela5[[#Headers],[INIC Atual]],Tabela5[[#This Row],['[Valores_cenario']]],0)</f>
        <v>0</v>
      </c>
      <c r="O280" s="6">
        <f>IF(Tabela5[[#This Row],[Dim_Cenario'[Nome Cenario']]]=Tabela5[[#Headers],[Revisado]],Tabela5[[#This Row],['[Valores_cenario']]],0)</f>
        <v>368844.7</v>
      </c>
      <c r="P280" s="6">
        <f>IF(Tabela5[[#This Row],[Dim_Cenario'[Nome Cenario']]]=Tabela5[[#Headers],[Realizado]],Tabela5[[#This Row],['[Valores_cenario']]],0)</f>
        <v>0</v>
      </c>
    </row>
    <row r="281" hidden="1" spans="1:16">
      <c r="A281" t="s">
        <v>17</v>
      </c>
      <c r="B281" t="s">
        <v>18</v>
      </c>
      <c r="C281" t="s">
        <v>96</v>
      </c>
      <c r="D281" t="s">
        <v>14</v>
      </c>
      <c r="E281">
        <v>2027</v>
      </c>
      <c r="F281" t="s">
        <v>21</v>
      </c>
      <c r="G281" t="s">
        <v>32</v>
      </c>
      <c r="H281">
        <v>12</v>
      </c>
      <c r="I281">
        <v>157065.19</v>
      </c>
      <c r="J281" t="s">
        <v>33</v>
      </c>
      <c r="K281" s="3"/>
      <c r="N281" s="6">
        <f>IF(Tabela5[[#This Row],[Dim_Cenario'[Nome Cenario']]]=Tabela5[[#Headers],[INIC Atual]],Tabela5[[#This Row],['[Valores_cenario']]],0)</f>
        <v>0</v>
      </c>
      <c r="O281" s="6">
        <f>IF(Tabela5[[#This Row],[Dim_Cenario'[Nome Cenario']]]=Tabela5[[#Headers],[Revisado]],Tabela5[[#This Row],['[Valores_cenario']]],0)</f>
        <v>157065.19</v>
      </c>
      <c r="P281" s="6">
        <f>IF(Tabela5[[#This Row],[Dim_Cenario'[Nome Cenario']]]=Tabela5[[#Headers],[Realizado]],Tabela5[[#This Row],['[Valores_cenario']]],0)</f>
        <v>0</v>
      </c>
    </row>
    <row r="282" s="1" customFormat="1" spans="1:17">
      <c r="A282" t="s">
        <v>17</v>
      </c>
      <c r="B282" t="s">
        <v>18</v>
      </c>
      <c r="C282" t="s">
        <v>37</v>
      </c>
      <c r="D282" t="s">
        <v>15</v>
      </c>
      <c r="E282">
        <v>2020</v>
      </c>
      <c r="F282" t="s">
        <v>25</v>
      </c>
      <c r="G282" t="s">
        <v>26</v>
      </c>
      <c r="H282">
        <v>2</v>
      </c>
      <c r="I282">
        <v>6000</v>
      </c>
      <c r="J282" t="s">
        <v>36</v>
      </c>
      <c r="K282" s="3">
        <v>43881</v>
      </c>
      <c r="L282" t="s">
        <v>144</v>
      </c>
      <c r="M282" t="s">
        <v>145</v>
      </c>
      <c r="N282" s="6">
        <f>IF(Tabela5[[#This Row],[Dim_Cenario'[Nome Cenario']]]=Tabela5[[#Headers],[INIC Atual]],Tabela5[[#This Row],['[Valores_cenario']]],0)</f>
        <v>0</v>
      </c>
      <c r="O282" s="6">
        <f>IF(Tabela5[[#This Row],[Dim_Cenario'[Nome Cenario']]]=Tabela5[[#Headers],[Revisado]],Tabela5[[#This Row],['[Valores_cenario']]],0)</f>
        <v>0</v>
      </c>
      <c r="P282" s="6">
        <f>IF(Tabela5[[#This Row],[Dim_Cenario'[Nome Cenario']]]=Tabela5[[#Headers],[Realizado]],Tabela5[[#This Row],['[Valores_cenario']]],0)</f>
        <v>6000</v>
      </c>
      <c r="Q282"/>
    </row>
    <row r="283" spans="1:16">
      <c r="A283" t="s">
        <v>17</v>
      </c>
      <c r="B283" t="s">
        <v>18</v>
      </c>
      <c r="C283" t="s">
        <v>37</v>
      </c>
      <c r="D283" t="s">
        <v>15</v>
      </c>
      <c r="E283">
        <v>2021</v>
      </c>
      <c r="F283" t="s">
        <v>27</v>
      </c>
      <c r="G283" t="s">
        <v>29</v>
      </c>
      <c r="H283">
        <v>6</v>
      </c>
      <c r="I283">
        <v>5893</v>
      </c>
      <c r="J283" t="s">
        <v>36</v>
      </c>
      <c r="K283" s="3">
        <v>44363</v>
      </c>
      <c r="L283" t="s">
        <v>100</v>
      </c>
      <c r="M283" t="s">
        <v>146</v>
      </c>
      <c r="N283" s="6">
        <f>IF(Tabela5[[#This Row],[Dim_Cenario'[Nome Cenario']]]=Tabela5[[#Headers],[INIC Atual]],Tabela5[[#This Row],['[Valores_cenario']]],0)</f>
        <v>0</v>
      </c>
      <c r="O283" s="6">
        <f>IF(Tabela5[[#This Row],[Dim_Cenario'[Nome Cenario']]]=Tabela5[[#Headers],[Revisado]],Tabela5[[#This Row],['[Valores_cenario']]],0)</f>
        <v>0</v>
      </c>
      <c r="P283" s="6">
        <f>IF(Tabela5[[#This Row],[Dim_Cenario'[Nome Cenario']]]=Tabela5[[#Headers],[Realizado]],Tabela5[[#This Row],['[Valores_cenario']]],0)</f>
        <v>5893</v>
      </c>
    </row>
    <row r="284" spans="1:16">
      <c r="A284" t="s">
        <v>17</v>
      </c>
      <c r="B284" t="s">
        <v>18</v>
      </c>
      <c r="C284" t="s">
        <v>37</v>
      </c>
      <c r="D284" t="s">
        <v>15</v>
      </c>
      <c r="E284">
        <v>2022</v>
      </c>
      <c r="F284" t="s">
        <v>25</v>
      </c>
      <c r="G284" t="s">
        <v>35</v>
      </c>
      <c r="H284">
        <v>1</v>
      </c>
      <c r="I284">
        <v>5893</v>
      </c>
      <c r="J284" t="s">
        <v>23</v>
      </c>
      <c r="K284" s="3">
        <v>44582</v>
      </c>
      <c r="L284" t="s">
        <v>100</v>
      </c>
      <c r="M284" t="s">
        <v>147</v>
      </c>
      <c r="N284" s="6">
        <f>IF(Tabela5[[#This Row],[Dim_Cenario'[Nome Cenario']]]=Tabela5[[#Headers],[INIC Atual]],Tabela5[[#This Row],['[Valores_cenario']]],0)</f>
        <v>0</v>
      </c>
      <c r="O284" s="6">
        <f>IF(Tabela5[[#This Row],[Dim_Cenario'[Nome Cenario']]]=Tabela5[[#Headers],[Revisado]],Tabela5[[#This Row],['[Valores_cenario']]],0)</f>
        <v>0</v>
      </c>
      <c r="P284" s="6">
        <f>IF(Tabela5[[#This Row],[Dim_Cenario'[Nome Cenario']]]=Tabela5[[#Headers],[Realizado]],Tabela5[[#This Row],['[Valores_cenario']]],0)</f>
        <v>5893</v>
      </c>
    </row>
    <row r="285" spans="1:16">
      <c r="A285" t="s">
        <v>17</v>
      </c>
      <c r="B285" t="s">
        <v>18</v>
      </c>
      <c r="C285" t="s">
        <v>37</v>
      </c>
      <c r="D285" t="s">
        <v>15</v>
      </c>
      <c r="E285">
        <v>2022</v>
      </c>
      <c r="F285" t="s">
        <v>30</v>
      </c>
      <c r="G285" t="s">
        <v>31</v>
      </c>
      <c r="H285">
        <v>8</v>
      </c>
      <c r="I285">
        <v>5596.5</v>
      </c>
      <c r="J285" t="s">
        <v>23</v>
      </c>
      <c r="K285" s="3">
        <v>44792</v>
      </c>
      <c r="L285" t="s">
        <v>148</v>
      </c>
      <c r="M285" t="s">
        <v>149</v>
      </c>
      <c r="N285" s="6">
        <f>IF(Tabela5[[#This Row],[Dim_Cenario'[Nome Cenario']]]=Tabela5[[#Headers],[INIC Atual]],Tabela5[[#This Row],['[Valores_cenario']]],0)</f>
        <v>0</v>
      </c>
      <c r="O285" s="6">
        <f>IF(Tabela5[[#This Row],[Dim_Cenario'[Nome Cenario']]]=Tabela5[[#Headers],[Revisado]],Tabela5[[#This Row],['[Valores_cenario']]],0)</f>
        <v>0</v>
      </c>
      <c r="P285" s="6">
        <f>IF(Tabela5[[#This Row],[Dim_Cenario'[Nome Cenario']]]=Tabela5[[#Headers],[Realizado]],Tabela5[[#This Row],['[Valores_cenario']]],0)</f>
        <v>5596.5</v>
      </c>
    </row>
    <row r="286" hidden="1" spans="1:16">
      <c r="A286" t="s">
        <v>17</v>
      </c>
      <c r="B286" t="s">
        <v>18</v>
      </c>
      <c r="C286" t="s">
        <v>37</v>
      </c>
      <c r="D286" t="s">
        <v>15</v>
      </c>
      <c r="E286">
        <v>2021</v>
      </c>
      <c r="F286" t="s">
        <v>27</v>
      </c>
      <c r="G286" t="s">
        <v>29</v>
      </c>
      <c r="H286">
        <v>6</v>
      </c>
      <c r="I286">
        <v>34100</v>
      </c>
      <c r="J286" t="s">
        <v>36</v>
      </c>
      <c r="K286" s="3">
        <v>44376</v>
      </c>
      <c r="L286" t="s">
        <v>90</v>
      </c>
      <c r="M286" t="s">
        <v>150</v>
      </c>
      <c r="N286" s="6">
        <f>IF(Tabela5[[#This Row],[Dim_Cenario'[Nome Cenario']]]=Tabela5[[#Headers],[INIC Atual]],Tabela5[[#This Row],['[Valores_cenario']]],0)</f>
        <v>0</v>
      </c>
      <c r="O286" s="6">
        <f>IF(Tabela5[[#This Row],[Dim_Cenario'[Nome Cenario']]]=Tabela5[[#Headers],[Revisado]],Tabela5[[#This Row],['[Valores_cenario']]],0)</f>
        <v>0</v>
      </c>
      <c r="P286" s="6">
        <f>IF(Tabela5[[#This Row],[Dim_Cenario'[Nome Cenario']]]=Tabela5[[#Headers],[Realizado]],Tabela5[[#This Row],['[Valores_cenario']]],0)</f>
        <v>34100</v>
      </c>
    </row>
    <row r="287" hidden="1" spans="1:16">
      <c r="A287" t="s">
        <v>97</v>
      </c>
      <c r="B287" t="s">
        <v>18</v>
      </c>
      <c r="C287" t="s">
        <v>98</v>
      </c>
      <c r="D287" t="s">
        <v>14</v>
      </c>
      <c r="E287">
        <v>2022</v>
      </c>
      <c r="F287" t="s">
        <v>25</v>
      </c>
      <c r="G287" t="s">
        <v>26</v>
      </c>
      <c r="H287">
        <v>2</v>
      </c>
      <c r="I287">
        <v>11349</v>
      </c>
      <c r="J287" t="s">
        <v>23</v>
      </c>
      <c r="K287" s="3"/>
      <c r="N287" s="6">
        <f>IF(Tabela5[[#This Row],[Dim_Cenario'[Nome Cenario']]]=Tabela5[[#Headers],[INIC Atual]],Tabela5[[#This Row],['[Valores_cenario']]],0)</f>
        <v>0</v>
      </c>
      <c r="O287" s="6">
        <f>IF(Tabela5[[#This Row],[Dim_Cenario'[Nome Cenario']]]=Tabela5[[#Headers],[Revisado]],Tabela5[[#This Row],['[Valores_cenario']]],0)</f>
        <v>11349</v>
      </c>
      <c r="P287" s="6">
        <f>IF(Tabela5[[#This Row],[Dim_Cenario'[Nome Cenario']]]=Tabela5[[#Headers],[Realizado]],Tabela5[[#This Row],['[Valores_cenario']]],0)</f>
        <v>0</v>
      </c>
    </row>
    <row r="288" hidden="1" spans="1:16">
      <c r="A288" t="s">
        <v>97</v>
      </c>
      <c r="B288" t="s">
        <v>18</v>
      </c>
      <c r="C288" t="s">
        <v>98</v>
      </c>
      <c r="D288" t="s">
        <v>14</v>
      </c>
      <c r="E288">
        <v>2022</v>
      </c>
      <c r="F288" t="s">
        <v>25</v>
      </c>
      <c r="G288" t="s">
        <v>38</v>
      </c>
      <c r="H288">
        <v>3</v>
      </c>
      <c r="I288">
        <v>873</v>
      </c>
      <c r="J288" t="s">
        <v>23</v>
      </c>
      <c r="K288" s="3"/>
      <c r="N288" s="6">
        <f>IF(Tabela5[[#This Row],[Dim_Cenario'[Nome Cenario']]]=Tabela5[[#Headers],[INIC Atual]],Tabela5[[#This Row],['[Valores_cenario']]],0)</f>
        <v>0</v>
      </c>
      <c r="O288" s="6">
        <f>IF(Tabela5[[#This Row],[Dim_Cenario'[Nome Cenario']]]=Tabela5[[#Headers],[Revisado]],Tabela5[[#This Row],['[Valores_cenario']]],0)</f>
        <v>873</v>
      </c>
      <c r="P288" s="6">
        <f>IF(Tabela5[[#This Row],[Dim_Cenario'[Nome Cenario']]]=Tabela5[[#Headers],[Realizado]],Tabela5[[#This Row],['[Valores_cenario']]],0)</f>
        <v>0</v>
      </c>
    </row>
    <row r="289" hidden="1" spans="1:16">
      <c r="A289" t="s">
        <v>97</v>
      </c>
      <c r="B289" t="s">
        <v>18</v>
      </c>
      <c r="C289" t="s">
        <v>98</v>
      </c>
      <c r="D289" t="s">
        <v>14</v>
      </c>
      <c r="E289">
        <v>2022</v>
      </c>
      <c r="F289" t="s">
        <v>27</v>
      </c>
      <c r="G289" t="s">
        <v>39</v>
      </c>
      <c r="H289">
        <v>5</v>
      </c>
      <c r="I289">
        <v>5238</v>
      </c>
      <c r="J289" t="s">
        <v>23</v>
      </c>
      <c r="K289" s="3"/>
      <c r="N289" s="6">
        <f>IF(Tabela5[[#This Row],[Dim_Cenario'[Nome Cenario']]]=Tabela5[[#Headers],[INIC Atual]],Tabela5[[#This Row],['[Valores_cenario']]],0)</f>
        <v>0</v>
      </c>
      <c r="O289" s="6">
        <f>IF(Tabela5[[#This Row],[Dim_Cenario'[Nome Cenario']]]=Tabela5[[#Headers],[Revisado]],Tabela5[[#This Row],['[Valores_cenario']]],0)</f>
        <v>5238</v>
      </c>
      <c r="P289" s="6">
        <f>IF(Tabela5[[#This Row],[Dim_Cenario'[Nome Cenario']]]=Tabela5[[#Headers],[Realizado]],Tabela5[[#This Row],['[Valores_cenario']]],0)</f>
        <v>0</v>
      </c>
    </row>
    <row r="290" hidden="1" spans="1:16">
      <c r="A290" t="s">
        <v>97</v>
      </c>
      <c r="B290" t="s">
        <v>18</v>
      </c>
      <c r="C290" t="s">
        <v>98</v>
      </c>
      <c r="D290" t="s">
        <v>14</v>
      </c>
      <c r="E290">
        <v>2022</v>
      </c>
      <c r="F290" t="s">
        <v>27</v>
      </c>
      <c r="G290" t="s">
        <v>29</v>
      </c>
      <c r="H290">
        <v>6</v>
      </c>
      <c r="I290">
        <v>3492</v>
      </c>
      <c r="J290" t="s">
        <v>23</v>
      </c>
      <c r="K290" s="3"/>
      <c r="N290" s="6">
        <f>IF(Tabela5[[#This Row],[Dim_Cenario'[Nome Cenario']]]=Tabela5[[#Headers],[INIC Atual]],Tabela5[[#This Row],['[Valores_cenario']]],0)</f>
        <v>0</v>
      </c>
      <c r="O290" s="6">
        <f>IF(Tabela5[[#This Row],[Dim_Cenario'[Nome Cenario']]]=Tabela5[[#Headers],[Revisado]],Tabela5[[#This Row],['[Valores_cenario']]],0)</f>
        <v>3492</v>
      </c>
      <c r="P290" s="6">
        <f>IF(Tabela5[[#This Row],[Dim_Cenario'[Nome Cenario']]]=Tabela5[[#Headers],[Realizado]],Tabela5[[#This Row],['[Valores_cenario']]],0)</f>
        <v>0</v>
      </c>
    </row>
    <row r="291" hidden="1" spans="1:16">
      <c r="A291" t="s">
        <v>97</v>
      </c>
      <c r="B291" t="s">
        <v>18</v>
      </c>
      <c r="C291" t="s">
        <v>98</v>
      </c>
      <c r="D291" t="s">
        <v>14</v>
      </c>
      <c r="E291">
        <v>2022</v>
      </c>
      <c r="F291" t="s">
        <v>21</v>
      </c>
      <c r="G291" t="s">
        <v>22</v>
      </c>
      <c r="H291">
        <v>10</v>
      </c>
      <c r="I291">
        <v>10476</v>
      </c>
      <c r="J291" t="s">
        <v>23</v>
      </c>
      <c r="K291" s="3"/>
      <c r="N291" s="6">
        <f>IF(Tabela5[[#This Row],[Dim_Cenario'[Nome Cenario']]]=Tabela5[[#Headers],[INIC Atual]],Tabela5[[#This Row],['[Valores_cenario']]],0)</f>
        <v>0</v>
      </c>
      <c r="O291" s="6">
        <f>IF(Tabela5[[#This Row],[Dim_Cenario'[Nome Cenario']]]=Tabela5[[#Headers],[Revisado]],Tabela5[[#This Row],['[Valores_cenario']]],0)</f>
        <v>10476</v>
      </c>
      <c r="P291" s="6">
        <f>IF(Tabela5[[#This Row],[Dim_Cenario'[Nome Cenario']]]=Tabela5[[#Headers],[Realizado]],Tabela5[[#This Row],['[Valores_cenario']]],0)</f>
        <v>0</v>
      </c>
    </row>
    <row r="292" hidden="1" spans="1:16">
      <c r="A292" t="s">
        <v>97</v>
      </c>
      <c r="B292" t="s">
        <v>18</v>
      </c>
      <c r="C292" t="s">
        <v>98</v>
      </c>
      <c r="D292" t="s">
        <v>14</v>
      </c>
      <c r="E292">
        <v>2022</v>
      </c>
      <c r="F292" t="s">
        <v>21</v>
      </c>
      <c r="G292" t="s">
        <v>32</v>
      </c>
      <c r="H292">
        <v>12</v>
      </c>
      <c r="I292">
        <v>2619</v>
      </c>
      <c r="J292" t="s">
        <v>23</v>
      </c>
      <c r="K292" s="3"/>
      <c r="N292" s="6">
        <f>IF(Tabela5[[#This Row],[Dim_Cenario'[Nome Cenario']]]=Tabela5[[#Headers],[INIC Atual]],Tabela5[[#This Row],['[Valores_cenario']]],0)</f>
        <v>0</v>
      </c>
      <c r="O292" s="6">
        <f>IF(Tabela5[[#This Row],[Dim_Cenario'[Nome Cenario']]]=Tabela5[[#Headers],[Revisado]],Tabela5[[#This Row],['[Valores_cenario']]],0)</f>
        <v>2619</v>
      </c>
      <c r="P292" s="6">
        <f>IF(Tabela5[[#This Row],[Dim_Cenario'[Nome Cenario']]]=Tabela5[[#Headers],[Realizado]],Tabela5[[#This Row],['[Valores_cenario']]],0)</f>
        <v>0</v>
      </c>
    </row>
    <row r="293" hidden="1" spans="1:16">
      <c r="A293" t="s">
        <v>97</v>
      </c>
      <c r="B293" t="s">
        <v>18</v>
      </c>
      <c r="C293" t="s">
        <v>98</v>
      </c>
      <c r="D293" t="s">
        <v>14</v>
      </c>
      <c r="E293">
        <v>2023</v>
      </c>
      <c r="F293" t="s">
        <v>21</v>
      </c>
      <c r="G293" t="s">
        <v>22</v>
      </c>
      <c r="H293">
        <v>10</v>
      </c>
      <c r="I293">
        <v>18788</v>
      </c>
      <c r="J293" t="s">
        <v>23</v>
      </c>
      <c r="K293" s="3"/>
      <c r="N293" s="6">
        <f>IF(Tabela5[[#This Row],[Dim_Cenario'[Nome Cenario']]]=Tabela5[[#Headers],[INIC Atual]],Tabela5[[#This Row],['[Valores_cenario']]],0)</f>
        <v>0</v>
      </c>
      <c r="O293" s="6">
        <f>IF(Tabela5[[#This Row],[Dim_Cenario'[Nome Cenario']]]=Tabela5[[#Headers],[Revisado]],Tabela5[[#This Row],['[Valores_cenario']]],0)</f>
        <v>18788</v>
      </c>
      <c r="P293" s="6">
        <f>IF(Tabela5[[#This Row],[Dim_Cenario'[Nome Cenario']]]=Tabela5[[#Headers],[Realizado]],Tabela5[[#This Row],['[Valores_cenario']]],0)</f>
        <v>0</v>
      </c>
    </row>
    <row r="294" hidden="1" spans="1:16">
      <c r="A294" t="s">
        <v>97</v>
      </c>
      <c r="B294" t="s">
        <v>18</v>
      </c>
      <c r="C294" t="s">
        <v>98</v>
      </c>
      <c r="D294" t="s">
        <v>14</v>
      </c>
      <c r="E294">
        <v>2023</v>
      </c>
      <c r="F294" t="s">
        <v>21</v>
      </c>
      <c r="G294" t="s">
        <v>24</v>
      </c>
      <c r="H294">
        <v>11</v>
      </c>
      <c r="I294">
        <v>16334</v>
      </c>
      <c r="J294" t="s">
        <v>23</v>
      </c>
      <c r="K294" s="3"/>
      <c r="N294" s="6">
        <f>IF(Tabela5[[#This Row],[Dim_Cenario'[Nome Cenario']]]=Tabela5[[#Headers],[INIC Atual]],Tabela5[[#This Row],['[Valores_cenario']]],0)</f>
        <v>0</v>
      </c>
      <c r="O294" s="6">
        <f>IF(Tabela5[[#This Row],[Dim_Cenario'[Nome Cenario']]]=Tabela5[[#Headers],[Revisado]],Tabela5[[#This Row],['[Valores_cenario']]],0)</f>
        <v>16334</v>
      </c>
      <c r="P294" s="6">
        <f>IF(Tabela5[[#This Row],[Dim_Cenario'[Nome Cenario']]]=Tabela5[[#Headers],[Realizado]],Tabela5[[#This Row],['[Valores_cenario']]],0)</f>
        <v>0</v>
      </c>
    </row>
    <row r="295" hidden="1" spans="1:16">
      <c r="A295" t="s">
        <v>97</v>
      </c>
      <c r="B295" t="s">
        <v>18</v>
      </c>
      <c r="C295" t="s">
        <v>98</v>
      </c>
      <c r="D295" t="s">
        <v>14</v>
      </c>
      <c r="E295">
        <v>2023</v>
      </c>
      <c r="F295" t="s">
        <v>21</v>
      </c>
      <c r="G295" t="s">
        <v>32</v>
      </c>
      <c r="H295">
        <v>12</v>
      </c>
      <c r="I295">
        <v>15904</v>
      </c>
      <c r="J295" t="s">
        <v>23</v>
      </c>
      <c r="K295" s="3"/>
      <c r="N295" s="6">
        <f>IF(Tabela5[[#This Row],[Dim_Cenario'[Nome Cenario']]]=Tabela5[[#Headers],[INIC Atual]],Tabela5[[#This Row],['[Valores_cenario']]],0)</f>
        <v>0</v>
      </c>
      <c r="O295" s="6">
        <f>IF(Tabela5[[#This Row],[Dim_Cenario'[Nome Cenario']]]=Tabela5[[#Headers],[Revisado]],Tabela5[[#This Row],['[Valores_cenario']]],0)</f>
        <v>15904</v>
      </c>
      <c r="P295" s="6">
        <f>IF(Tabela5[[#This Row],[Dim_Cenario'[Nome Cenario']]]=Tabela5[[#Headers],[Realizado]],Tabela5[[#This Row],['[Valores_cenario']]],0)</f>
        <v>0</v>
      </c>
    </row>
    <row r="296" hidden="1" spans="1:16">
      <c r="A296" t="s">
        <v>97</v>
      </c>
      <c r="B296" t="s">
        <v>18</v>
      </c>
      <c r="C296" t="s">
        <v>98</v>
      </c>
      <c r="D296" t="s">
        <v>14</v>
      </c>
      <c r="E296">
        <v>2024</v>
      </c>
      <c r="F296" t="s">
        <v>25</v>
      </c>
      <c r="G296" t="s">
        <v>35</v>
      </c>
      <c r="H296">
        <v>1</v>
      </c>
      <c r="I296">
        <v>10254</v>
      </c>
      <c r="J296" t="s">
        <v>23</v>
      </c>
      <c r="K296" s="3"/>
      <c r="N296" s="6">
        <f>IF(Tabela5[[#This Row],[Dim_Cenario'[Nome Cenario']]]=Tabela5[[#Headers],[INIC Atual]],Tabela5[[#This Row],['[Valores_cenario']]],0)</f>
        <v>0</v>
      </c>
      <c r="O296" s="6">
        <f>IF(Tabela5[[#This Row],[Dim_Cenario'[Nome Cenario']]]=Tabela5[[#Headers],[Revisado]],Tabela5[[#This Row],['[Valores_cenario']]],0)</f>
        <v>10254</v>
      </c>
      <c r="P296" s="6">
        <f>IF(Tabela5[[#This Row],[Dim_Cenario'[Nome Cenario']]]=Tabela5[[#Headers],[Realizado]],Tabela5[[#This Row],['[Valores_cenario']]],0)</f>
        <v>0</v>
      </c>
    </row>
    <row r="297" hidden="1" spans="1:16">
      <c r="A297" t="s">
        <v>97</v>
      </c>
      <c r="B297" t="s">
        <v>18</v>
      </c>
      <c r="C297" t="s">
        <v>98</v>
      </c>
      <c r="D297" t="s">
        <v>14</v>
      </c>
      <c r="E297">
        <v>2024</v>
      </c>
      <c r="F297" t="s">
        <v>25</v>
      </c>
      <c r="G297" t="s">
        <v>26</v>
      </c>
      <c r="H297">
        <v>2</v>
      </c>
      <c r="I297">
        <v>10684</v>
      </c>
      <c r="J297" t="s">
        <v>23</v>
      </c>
      <c r="K297" s="3"/>
      <c r="N297" s="6">
        <f>IF(Tabela5[[#This Row],[Dim_Cenario'[Nome Cenario']]]=Tabela5[[#Headers],[INIC Atual]],Tabela5[[#This Row],['[Valores_cenario']]],0)</f>
        <v>0</v>
      </c>
      <c r="O297" s="6">
        <f>IF(Tabela5[[#This Row],[Dim_Cenario'[Nome Cenario']]]=Tabela5[[#Headers],[Revisado]],Tabela5[[#This Row],['[Valores_cenario']]],0)</f>
        <v>10684</v>
      </c>
      <c r="P297" s="6">
        <f>IF(Tabela5[[#This Row],[Dim_Cenario'[Nome Cenario']]]=Tabela5[[#Headers],[Realizado]],Tabela5[[#This Row],['[Valores_cenario']]],0)</f>
        <v>0</v>
      </c>
    </row>
    <row r="298" hidden="1" spans="1:16">
      <c r="A298" t="s">
        <v>97</v>
      </c>
      <c r="B298" t="s">
        <v>18</v>
      </c>
      <c r="C298" t="s">
        <v>98</v>
      </c>
      <c r="D298" t="s">
        <v>14</v>
      </c>
      <c r="E298">
        <v>2024</v>
      </c>
      <c r="F298" t="s">
        <v>27</v>
      </c>
      <c r="G298" t="s">
        <v>28</v>
      </c>
      <c r="H298">
        <v>4</v>
      </c>
      <c r="I298">
        <v>42306</v>
      </c>
      <c r="J298" t="s">
        <v>23</v>
      </c>
      <c r="K298" s="3"/>
      <c r="N298" s="6">
        <f>IF(Tabela5[[#This Row],[Dim_Cenario'[Nome Cenario']]]=Tabela5[[#Headers],[INIC Atual]],Tabela5[[#This Row],['[Valores_cenario']]],0)</f>
        <v>0</v>
      </c>
      <c r="O298" s="6">
        <f>IF(Tabela5[[#This Row],[Dim_Cenario'[Nome Cenario']]]=Tabela5[[#Headers],[Revisado]],Tabela5[[#This Row],['[Valores_cenario']]],0)</f>
        <v>42306</v>
      </c>
      <c r="P298" s="6">
        <f>IF(Tabela5[[#This Row],[Dim_Cenario'[Nome Cenario']]]=Tabela5[[#Headers],[Realizado]],Tabela5[[#This Row],['[Valores_cenario']]],0)</f>
        <v>0</v>
      </c>
    </row>
    <row r="299" hidden="1" spans="1:16">
      <c r="A299" t="s">
        <v>97</v>
      </c>
      <c r="B299" t="s">
        <v>18</v>
      </c>
      <c r="C299" t="s">
        <v>98</v>
      </c>
      <c r="D299" t="s">
        <v>14</v>
      </c>
      <c r="E299">
        <v>2024</v>
      </c>
      <c r="F299" t="s">
        <v>27</v>
      </c>
      <c r="G299" t="s">
        <v>39</v>
      </c>
      <c r="H299">
        <v>5</v>
      </c>
      <c r="I299">
        <v>4973</v>
      </c>
      <c r="J299" t="s">
        <v>23</v>
      </c>
      <c r="K299" s="3"/>
      <c r="N299" s="6">
        <f>IF(Tabela5[[#This Row],[Dim_Cenario'[Nome Cenario']]]=Tabela5[[#Headers],[INIC Atual]],Tabela5[[#This Row],['[Valores_cenario']]],0)</f>
        <v>0</v>
      </c>
      <c r="O299" s="6">
        <f>IF(Tabela5[[#This Row],[Dim_Cenario'[Nome Cenario']]]=Tabela5[[#Headers],[Revisado]],Tabela5[[#This Row],['[Valores_cenario']]],0)</f>
        <v>4973</v>
      </c>
      <c r="P299" s="6">
        <f>IF(Tabela5[[#This Row],[Dim_Cenario'[Nome Cenario']]]=Tabela5[[#Headers],[Realizado]],Tabela5[[#This Row],['[Valores_cenario']]],0)</f>
        <v>0</v>
      </c>
    </row>
    <row r="300" hidden="1" spans="1:16">
      <c r="A300" t="s">
        <v>97</v>
      </c>
      <c r="B300" t="s">
        <v>18</v>
      </c>
      <c r="C300" t="s">
        <v>98</v>
      </c>
      <c r="D300" t="s">
        <v>14</v>
      </c>
      <c r="E300">
        <v>2024</v>
      </c>
      <c r="F300" t="s">
        <v>27</v>
      </c>
      <c r="G300" t="s">
        <v>29</v>
      </c>
      <c r="H300">
        <v>6</v>
      </c>
      <c r="I300">
        <v>21000</v>
      </c>
      <c r="J300" t="s">
        <v>23</v>
      </c>
      <c r="K300" s="3"/>
      <c r="N300" s="6">
        <f>IF(Tabela5[[#This Row],[Dim_Cenario'[Nome Cenario']]]=Tabela5[[#Headers],[INIC Atual]],Tabela5[[#This Row],['[Valores_cenario']]],0)</f>
        <v>0</v>
      </c>
      <c r="O300" s="6">
        <f>IF(Tabela5[[#This Row],[Dim_Cenario'[Nome Cenario']]]=Tabela5[[#Headers],[Revisado]],Tabela5[[#This Row],['[Valores_cenario']]],0)</f>
        <v>21000</v>
      </c>
      <c r="P300" s="6">
        <f>IF(Tabela5[[#This Row],[Dim_Cenario'[Nome Cenario']]]=Tabela5[[#Headers],[Realizado]],Tabela5[[#This Row],['[Valores_cenario']]],0)</f>
        <v>0</v>
      </c>
    </row>
    <row r="301" hidden="1" spans="1:16">
      <c r="A301" t="s">
        <v>97</v>
      </c>
      <c r="B301" t="s">
        <v>18</v>
      </c>
      <c r="C301" t="s">
        <v>98</v>
      </c>
      <c r="D301" t="s">
        <v>14</v>
      </c>
      <c r="E301">
        <v>2024</v>
      </c>
      <c r="F301" t="s">
        <v>30</v>
      </c>
      <c r="G301" t="s">
        <v>40</v>
      </c>
      <c r="H301">
        <v>7</v>
      </c>
      <c r="I301">
        <v>20000</v>
      </c>
      <c r="J301" t="s">
        <v>23</v>
      </c>
      <c r="K301" s="3"/>
      <c r="N301" s="6">
        <f>IF(Tabela5[[#This Row],[Dim_Cenario'[Nome Cenario']]]=Tabela5[[#Headers],[INIC Atual]],Tabela5[[#This Row],['[Valores_cenario']]],0)</f>
        <v>0</v>
      </c>
      <c r="O301" s="6">
        <f>IF(Tabela5[[#This Row],[Dim_Cenario'[Nome Cenario']]]=Tabela5[[#Headers],[Revisado]],Tabela5[[#This Row],['[Valores_cenario']]],0)</f>
        <v>20000</v>
      </c>
      <c r="P301" s="6">
        <f>IF(Tabela5[[#This Row],[Dim_Cenario'[Nome Cenario']]]=Tabela5[[#Headers],[Realizado]],Tabela5[[#This Row],['[Valores_cenario']]],0)</f>
        <v>0</v>
      </c>
    </row>
    <row r="302" hidden="1" spans="1:16">
      <c r="A302" t="s">
        <v>97</v>
      </c>
      <c r="B302" t="s">
        <v>18</v>
      </c>
      <c r="C302" t="s">
        <v>98</v>
      </c>
      <c r="D302" t="s">
        <v>14</v>
      </c>
      <c r="E302">
        <v>2024</v>
      </c>
      <c r="F302" t="s">
        <v>30</v>
      </c>
      <c r="G302" t="s">
        <v>31</v>
      </c>
      <c r="H302">
        <v>8</v>
      </c>
      <c r="I302">
        <v>24062</v>
      </c>
      <c r="J302" t="s">
        <v>23</v>
      </c>
      <c r="K302" s="3"/>
      <c r="N302" s="6">
        <f>IF(Tabela5[[#This Row],[Dim_Cenario'[Nome Cenario']]]=Tabela5[[#Headers],[INIC Atual]],Tabela5[[#This Row],['[Valores_cenario']]],0)</f>
        <v>0</v>
      </c>
      <c r="O302" s="6">
        <f>IF(Tabela5[[#This Row],[Dim_Cenario'[Nome Cenario']]]=Tabela5[[#Headers],[Revisado]],Tabela5[[#This Row],['[Valores_cenario']]],0)</f>
        <v>24062</v>
      </c>
      <c r="P302" s="6">
        <f>IF(Tabela5[[#This Row],[Dim_Cenario'[Nome Cenario']]]=Tabela5[[#Headers],[Realizado]],Tabela5[[#This Row],['[Valores_cenario']]],0)</f>
        <v>0</v>
      </c>
    </row>
    <row r="303" hidden="1" spans="1:16">
      <c r="A303" t="s">
        <v>97</v>
      </c>
      <c r="B303" t="s">
        <v>18</v>
      </c>
      <c r="C303" t="s">
        <v>98</v>
      </c>
      <c r="D303" t="s">
        <v>14</v>
      </c>
      <c r="E303">
        <v>2024</v>
      </c>
      <c r="F303" t="s">
        <v>30</v>
      </c>
      <c r="G303" t="s">
        <v>41</v>
      </c>
      <c r="H303">
        <v>9</v>
      </c>
      <c r="I303">
        <v>21000</v>
      </c>
      <c r="J303" t="s">
        <v>23</v>
      </c>
      <c r="K303" s="3"/>
      <c r="N303" s="6">
        <f>IF(Tabela5[[#This Row],[Dim_Cenario'[Nome Cenario']]]=Tabela5[[#Headers],[INIC Atual]],Tabela5[[#This Row],['[Valores_cenario']]],0)</f>
        <v>0</v>
      </c>
      <c r="O303" s="6">
        <f>IF(Tabela5[[#This Row],[Dim_Cenario'[Nome Cenario']]]=Tabela5[[#Headers],[Revisado]],Tabela5[[#This Row],['[Valores_cenario']]],0)</f>
        <v>21000</v>
      </c>
      <c r="P303" s="6">
        <f>IF(Tabela5[[#This Row],[Dim_Cenario'[Nome Cenario']]]=Tabela5[[#Headers],[Realizado]],Tabela5[[#This Row],['[Valores_cenario']]],0)</f>
        <v>0</v>
      </c>
    </row>
    <row r="304" hidden="1" spans="1:16">
      <c r="A304" t="s">
        <v>97</v>
      </c>
      <c r="B304" t="s">
        <v>18</v>
      </c>
      <c r="C304" t="s">
        <v>98</v>
      </c>
      <c r="D304" t="s">
        <v>14</v>
      </c>
      <c r="E304">
        <v>2024</v>
      </c>
      <c r="F304" t="s">
        <v>21</v>
      </c>
      <c r="G304" t="s">
        <v>22</v>
      </c>
      <c r="H304">
        <v>10</v>
      </c>
      <c r="I304">
        <v>10000</v>
      </c>
      <c r="J304" t="s">
        <v>23</v>
      </c>
      <c r="K304" s="3"/>
      <c r="N304" s="6">
        <f>IF(Tabela5[[#This Row],[Dim_Cenario'[Nome Cenario']]]=Tabela5[[#Headers],[INIC Atual]],Tabela5[[#This Row],['[Valores_cenario']]],0)</f>
        <v>0</v>
      </c>
      <c r="O304" s="6">
        <f>IF(Tabela5[[#This Row],[Dim_Cenario'[Nome Cenario']]]=Tabela5[[#Headers],[Revisado]],Tabela5[[#This Row],['[Valores_cenario']]],0)</f>
        <v>10000</v>
      </c>
      <c r="P304" s="6">
        <f>IF(Tabela5[[#This Row],[Dim_Cenario'[Nome Cenario']]]=Tabela5[[#Headers],[Realizado]],Tabela5[[#This Row],['[Valores_cenario']]],0)</f>
        <v>0</v>
      </c>
    </row>
    <row r="305" hidden="1" spans="1:16">
      <c r="A305" t="s">
        <v>97</v>
      </c>
      <c r="B305" t="s">
        <v>18</v>
      </c>
      <c r="C305" t="s">
        <v>98</v>
      </c>
      <c r="D305" t="s">
        <v>14</v>
      </c>
      <c r="E305">
        <v>2024</v>
      </c>
      <c r="F305" t="s">
        <v>21</v>
      </c>
      <c r="G305" t="s">
        <v>24</v>
      </c>
      <c r="H305">
        <v>11</v>
      </c>
      <c r="I305">
        <v>12721</v>
      </c>
      <c r="J305" t="s">
        <v>23</v>
      </c>
      <c r="K305" s="3"/>
      <c r="N305" s="6">
        <f>IF(Tabela5[[#This Row],[Dim_Cenario'[Nome Cenario']]]=Tabela5[[#Headers],[INIC Atual]],Tabela5[[#This Row],['[Valores_cenario']]],0)</f>
        <v>0</v>
      </c>
      <c r="O305" s="6">
        <f>IF(Tabela5[[#This Row],[Dim_Cenario'[Nome Cenario']]]=Tabela5[[#Headers],[Revisado]],Tabela5[[#This Row],['[Valores_cenario']]],0)</f>
        <v>12721</v>
      </c>
      <c r="P305" s="6">
        <f>IF(Tabela5[[#This Row],[Dim_Cenario'[Nome Cenario']]]=Tabela5[[#Headers],[Realizado]],Tabela5[[#This Row],['[Valores_cenario']]],0)</f>
        <v>0</v>
      </c>
    </row>
    <row r="306" hidden="1" spans="1:16">
      <c r="A306" t="s">
        <v>97</v>
      </c>
      <c r="B306" t="s">
        <v>18</v>
      </c>
      <c r="C306" t="s">
        <v>99</v>
      </c>
      <c r="D306" t="s">
        <v>14</v>
      </c>
      <c r="E306">
        <v>2022</v>
      </c>
      <c r="F306" t="s">
        <v>27</v>
      </c>
      <c r="G306" t="s">
        <v>28</v>
      </c>
      <c r="H306">
        <v>4</v>
      </c>
      <c r="I306">
        <v>108000</v>
      </c>
      <c r="J306" t="s">
        <v>23</v>
      </c>
      <c r="K306" s="3"/>
      <c r="N306" s="7">
        <f>IF(Tabela5[[#This Row],[Dim_Cenario'[Nome Cenario']]]=Tabela5[[#Headers],[INIC Atual]],Tabela5[[#This Row],['[Valores_cenario']]],0)</f>
        <v>0</v>
      </c>
      <c r="O306" s="7">
        <f>IF(Tabela5[[#This Row],[Dim_Cenario'[Nome Cenario']]]=Tabela5[[#Headers],[Revisado]],Tabela5[[#This Row],['[Valores_cenario']]],0)</f>
        <v>108000</v>
      </c>
      <c r="P306" s="7">
        <f>IF(Tabela5[[#This Row],[Dim_Cenario'[Nome Cenario']]]=Tabela5[[#Headers],[Realizado]],Tabela5[[#This Row],['[Valores_cenario']]],0)</f>
        <v>0</v>
      </c>
    </row>
    <row r="307" hidden="1" spans="1:16">
      <c r="A307" t="s">
        <v>151</v>
      </c>
      <c r="B307" t="s">
        <v>18</v>
      </c>
      <c r="C307" t="s">
        <v>99</v>
      </c>
      <c r="D307" t="s">
        <v>14</v>
      </c>
      <c r="E307">
        <v>2026</v>
      </c>
      <c r="F307" t="s">
        <v>27</v>
      </c>
      <c r="G307" t="s">
        <v>29</v>
      </c>
      <c r="H307">
        <v>6</v>
      </c>
      <c r="I307">
        <v>207376.94</v>
      </c>
      <c r="J307" t="s">
        <v>33</v>
      </c>
      <c r="K307" s="3"/>
      <c r="N307" s="6">
        <f>IF(Tabela5[[#This Row],[Dim_Cenario'[Nome Cenario']]]=Tabela5[[#Headers],[INIC Atual]],Tabela5[[#This Row],['[Valores_cenario']]],0)</f>
        <v>0</v>
      </c>
      <c r="O307" s="6">
        <f>IF(Tabela5[[#This Row],[Dim_Cenario'[Nome Cenario']]]=Tabela5[[#Headers],[Revisado]],Tabela5[[#This Row],['[Valores_cenario']]],0)</f>
        <v>207376.94</v>
      </c>
      <c r="P307" s="6">
        <f>IF(Tabela5[[#This Row],[Dim_Cenario'[Nome Cenario']]]=Tabela5[[#Headers],[Realizado]],Tabela5[[#This Row],['[Valores_cenario']]],0)</f>
        <v>0</v>
      </c>
    </row>
    <row r="308" hidden="1" spans="1:16">
      <c r="A308" t="s">
        <v>151</v>
      </c>
      <c r="B308" t="s">
        <v>18</v>
      </c>
      <c r="C308" t="s">
        <v>99</v>
      </c>
      <c r="D308" t="s">
        <v>14</v>
      </c>
      <c r="E308">
        <v>2026</v>
      </c>
      <c r="F308" t="s">
        <v>30</v>
      </c>
      <c r="G308" t="s">
        <v>40</v>
      </c>
      <c r="H308">
        <v>7</v>
      </c>
      <c r="I308">
        <v>207376.94</v>
      </c>
      <c r="J308" t="s">
        <v>33</v>
      </c>
      <c r="K308" s="3"/>
      <c r="N308" s="6">
        <f>IF(Tabela5[[#This Row],[Dim_Cenario'[Nome Cenario']]]=Tabela5[[#Headers],[INIC Atual]],Tabela5[[#This Row],['[Valores_cenario']]],0)</f>
        <v>0</v>
      </c>
      <c r="O308" s="6">
        <f>IF(Tabela5[[#This Row],[Dim_Cenario'[Nome Cenario']]]=Tabela5[[#Headers],[Revisado]],Tabela5[[#This Row],['[Valores_cenario']]],0)</f>
        <v>207376.94</v>
      </c>
      <c r="P308" s="6">
        <f>IF(Tabela5[[#This Row],[Dim_Cenario'[Nome Cenario']]]=Tabela5[[#Headers],[Realizado]],Tabela5[[#This Row],['[Valores_cenario']]],0)</f>
        <v>0</v>
      </c>
    </row>
    <row r="309" hidden="1" spans="1:16">
      <c r="A309" t="s">
        <v>151</v>
      </c>
      <c r="B309" t="s">
        <v>18</v>
      </c>
      <c r="C309" t="s">
        <v>99</v>
      </c>
      <c r="D309" t="s">
        <v>14</v>
      </c>
      <c r="E309">
        <v>2026</v>
      </c>
      <c r="F309" t="s">
        <v>30</v>
      </c>
      <c r="G309" t="s">
        <v>31</v>
      </c>
      <c r="H309">
        <v>8</v>
      </c>
      <c r="I309">
        <v>207376.94</v>
      </c>
      <c r="J309" t="s">
        <v>33</v>
      </c>
      <c r="K309" s="3"/>
      <c r="N309" s="6">
        <f>IF(Tabela5[[#This Row],[Dim_Cenario'[Nome Cenario']]]=Tabela5[[#Headers],[INIC Atual]],Tabela5[[#This Row],['[Valores_cenario']]],0)</f>
        <v>0</v>
      </c>
      <c r="O309" s="6">
        <f>IF(Tabela5[[#This Row],[Dim_Cenario'[Nome Cenario']]]=Tabela5[[#Headers],[Revisado]],Tabela5[[#This Row],['[Valores_cenario']]],0)</f>
        <v>207376.94</v>
      </c>
      <c r="P309" s="6">
        <f>IF(Tabela5[[#This Row],[Dim_Cenario'[Nome Cenario']]]=Tabela5[[#Headers],[Realizado]],Tabela5[[#This Row],['[Valores_cenario']]],0)</f>
        <v>0</v>
      </c>
    </row>
    <row r="310" hidden="1" spans="1:16">
      <c r="A310" t="s">
        <v>151</v>
      </c>
      <c r="B310" t="s">
        <v>18</v>
      </c>
      <c r="C310" t="s">
        <v>99</v>
      </c>
      <c r="D310" t="s">
        <v>14</v>
      </c>
      <c r="E310">
        <v>2026</v>
      </c>
      <c r="F310" t="s">
        <v>30</v>
      </c>
      <c r="G310" t="s">
        <v>41</v>
      </c>
      <c r="H310">
        <v>9</v>
      </c>
      <c r="I310">
        <v>207376.94</v>
      </c>
      <c r="J310" t="s">
        <v>33</v>
      </c>
      <c r="K310" s="3"/>
      <c r="N310" s="6">
        <f>IF(Tabela5[[#This Row],[Dim_Cenario'[Nome Cenario']]]=Tabela5[[#Headers],[INIC Atual]],Tabela5[[#This Row],['[Valores_cenario']]],0)</f>
        <v>0</v>
      </c>
      <c r="O310" s="6">
        <f>IF(Tabela5[[#This Row],[Dim_Cenario'[Nome Cenario']]]=Tabela5[[#Headers],[Revisado]],Tabela5[[#This Row],['[Valores_cenario']]],0)</f>
        <v>207376.94</v>
      </c>
      <c r="P310" s="6">
        <f>IF(Tabela5[[#This Row],[Dim_Cenario'[Nome Cenario']]]=Tabela5[[#Headers],[Realizado]],Tabela5[[#This Row],['[Valores_cenario']]],0)</f>
        <v>0</v>
      </c>
    </row>
    <row r="311" hidden="1" spans="1:16">
      <c r="A311" t="s">
        <v>151</v>
      </c>
      <c r="B311" t="s">
        <v>18</v>
      </c>
      <c r="C311" t="s">
        <v>99</v>
      </c>
      <c r="D311" t="s">
        <v>14</v>
      </c>
      <c r="E311">
        <v>2026</v>
      </c>
      <c r="F311" t="s">
        <v>21</v>
      </c>
      <c r="G311" t="s">
        <v>22</v>
      </c>
      <c r="H311">
        <v>10</v>
      </c>
      <c r="I311">
        <v>207376.94</v>
      </c>
      <c r="J311" t="s">
        <v>33</v>
      </c>
      <c r="K311" s="3"/>
      <c r="N311" s="6">
        <f>IF(Tabela5[[#This Row],[Dim_Cenario'[Nome Cenario']]]=Tabela5[[#Headers],[INIC Atual]],Tabela5[[#This Row],['[Valores_cenario']]],0)</f>
        <v>0</v>
      </c>
      <c r="O311" s="6">
        <f>IF(Tabela5[[#This Row],[Dim_Cenario'[Nome Cenario']]]=Tabela5[[#Headers],[Revisado]],Tabela5[[#This Row],['[Valores_cenario']]],0)</f>
        <v>207376.94</v>
      </c>
      <c r="P311" s="6">
        <f>IF(Tabela5[[#This Row],[Dim_Cenario'[Nome Cenario']]]=Tabela5[[#Headers],[Realizado]],Tabela5[[#This Row],['[Valores_cenario']]],0)</f>
        <v>0</v>
      </c>
    </row>
    <row r="312" hidden="1" spans="1:16">
      <c r="A312" t="s">
        <v>151</v>
      </c>
      <c r="B312" t="s">
        <v>18</v>
      </c>
      <c r="C312" t="s">
        <v>99</v>
      </c>
      <c r="D312" t="s">
        <v>14</v>
      </c>
      <c r="E312">
        <v>2026</v>
      </c>
      <c r="F312" t="s">
        <v>21</v>
      </c>
      <c r="G312" t="s">
        <v>24</v>
      </c>
      <c r="H312">
        <v>11</v>
      </c>
      <c r="I312">
        <v>207376.94</v>
      </c>
      <c r="J312" t="s">
        <v>33</v>
      </c>
      <c r="K312" s="3"/>
      <c r="N312" s="6">
        <f>IF(Tabela5[[#This Row],[Dim_Cenario'[Nome Cenario']]]=Tabela5[[#Headers],[INIC Atual]],Tabela5[[#This Row],['[Valores_cenario']]],0)</f>
        <v>0</v>
      </c>
      <c r="O312" s="6">
        <f>IF(Tabela5[[#This Row],[Dim_Cenario'[Nome Cenario']]]=Tabela5[[#Headers],[Revisado]],Tabela5[[#This Row],['[Valores_cenario']]],0)</f>
        <v>207376.94</v>
      </c>
      <c r="P312" s="6">
        <f>IF(Tabela5[[#This Row],[Dim_Cenario'[Nome Cenario']]]=Tabela5[[#Headers],[Realizado]],Tabela5[[#This Row],['[Valores_cenario']]],0)</f>
        <v>0</v>
      </c>
    </row>
    <row r="313" hidden="1" spans="1:16">
      <c r="A313" t="s">
        <v>151</v>
      </c>
      <c r="B313" t="s">
        <v>18</v>
      </c>
      <c r="C313" t="s">
        <v>99</v>
      </c>
      <c r="D313" t="s">
        <v>14</v>
      </c>
      <c r="E313">
        <v>2026</v>
      </c>
      <c r="F313" t="s">
        <v>21</v>
      </c>
      <c r="G313" t="s">
        <v>32</v>
      </c>
      <c r="H313">
        <v>12</v>
      </c>
      <c r="I313">
        <v>207376.94</v>
      </c>
      <c r="J313" t="s">
        <v>33</v>
      </c>
      <c r="K313" s="3"/>
      <c r="N313" s="6">
        <f>IF(Tabela5[[#This Row],[Dim_Cenario'[Nome Cenario']]]=Tabela5[[#Headers],[INIC Atual]],Tabela5[[#This Row],['[Valores_cenario']]],0)</f>
        <v>0</v>
      </c>
      <c r="O313" s="6">
        <f>IF(Tabela5[[#This Row],[Dim_Cenario'[Nome Cenario']]]=Tabela5[[#Headers],[Revisado]],Tabela5[[#This Row],['[Valores_cenario']]],0)</f>
        <v>207376.94</v>
      </c>
      <c r="P313" s="6">
        <f>IF(Tabela5[[#This Row],[Dim_Cenario'[Nome Cenario']]]=Tabela5[[#Headers],[Realizado]],Tabela5[[#This Row],['[Valores_cenario']]],0)</f>
        <v>0</v>
      </c>
    </row>
    <row r="314" hidden="1" spans="1:16">
      <c r="A314" t="s">
        <v>152</v>
      </c>
      <c r="B314" t="s">
        <v>18</v>
      </c>
      <c r="C314" t="s">
        <v>19</v>
      </c>
      <c r="D314" t="s">
        <v>20</v>
      </c>
      <c r="E314">
        <v>2019</v>
      </c>
      <c r="F314" t="s">
        <v>25</v>
      </c>
      <c r="G314" t="s">
        <v>26</v>
      </c>
      <c r="H314">
        <v>2</v>
      </c>
      <c r="I314">
        <v>71501.46</v>
      </c>
      <c r="J314" t="s">
        <v>36</v>
      </c>
      <c r="K314" s="3"/>
      <c r="N314" s="6">
        <f>IF(Tabela5[[#This Row],[Dim_Cenario'[Nome Cenario']]]=Tabela5[[#Headers],[INIC Atual]],Tabela5[[#This Row],['[Valores_cenario']]],0)</f>
        <v>71501.46</v>
      </c>
      <c r="O314" s="6">
        <f>IF(Tabela5[[#This Row],[Dim_Cenario'[Nome Cenario']]]=Tabela5[[#Headers],[Revisado]],Tabela5[[#This Row],['[Valores_cenario']]],0)</f>
        <v>0</v>
      </c>
      <c r="P314" s="6">
        <f>IF(Tabela5[[#This Row],[Dim_Cenario'[Nome Cenario']]]=Tabela5[[#Headers],[Realizado]],Tabela5[[#This Row],['[Valores_cenario']]],0)</f>
        <v>0</v>
      </c>
    </row>
    <row r="315" hidden="1" spans="1:16">
      <c r="A315" t="s">
        <v>152</v>
      </c>
      <c r="B315" t="s">
        <v>18</v>
      </c>
      <c r="C315" t="s">
        <v>19</v>
      </c>
      <c r="D315" t="s">
        <v>20</v>
      </c>
      <c r="E315">
        <v>2020</v>
      </c>
      <c r="F315" t="s">
        <v>30</v>
      </c>
      <c r="G315" t="s">
        <v>40</v>
      </c>
      <c r="H315">
        <v>7</v>
      </c>
      <c r="I315">
        <v>77715.16</v>
      </c>
      <c r="J315" t="s">
        <v>36</v>
      </c>
      <c r="K315" s="3"/>
      <c r="N315" s="6">
        <f>IF(Tabela5[[#This Row],[Dim_Cenario'[Nome Cenario']]]=Tabela5[[#Headers],[INIC Atual]],Tabela5[[#This Row],['[Valores_cenario']]],0)</f>
        <v>77715.16</v>
      </c>
      <c r="O315" s="6">
        <f>IF(Tabela5[[#This Row],[Dim_Cenario'[Nome Cenario']]]=Tabela5[[#Headers],[Revisado]],Tabela5[[#This Row],['[Valores_cenario']]],0)</f>
        <v>0</v>
      </c>
      <c r="P315" s="6">
        <f>IF(Tabela5[[#This Row],[Dim_Cenario'[Nome Cenario']]]=Tabela5[[#Headers],[Realizado]],Tabela5[[#This Row],['[Valores_cenario']]],0)</f>
        <v>0</v>
      </c>
    </row>
    <row r="316" hidden="1" spans="1:16">
      <c r="A316" t="s">
        <v>152</v>
      </c>
      <c r="B316" t="s">
        <v>18</v>
      </c>
      <c r="C316" t="s">
        <v>19</v>
      </c>
      <c r="D316" t="s">
        <v>20</v>
      </c>
      <c r="E316">
        <v>2020</v>
      </c>
      <c r="F316" t="s">
        <v>21</v>
      </c>
      <c r="G316" t="s">
        <v>24</v>
      </c>
      <c r="H316">
        <v>11</v>
      </c>
      <c r="I316">
        <v>77715.16</v>
      </c>
      <c r="J316" t="s">
        <v>36</v>
      </c>
      <c r="K316" s="3"/>
      <c r="N316" s="6">
        <f>IF(Tabela5[[#This Row],[Dim_Cenario'[Nome Cenario']]]=Tabela5[[#Headers],[INIC Atual]],Tabela5[[#This Row],['[Valores_cenario']]],0)</f>
        <v>77715.16</v>
      </c>
      <c r="O316" s="6">
        <f>IF(Tabela5[[#This Row],[Dim_Cenario'[Nome Cenario']]]=Tabela5[[#Headers],[Revisado]],Tabela5[[#This Row],['[Valores_cenario']]],0)</f>
        <v>0</v>
      </c>
      <c r="P316" s="6">
        <f>IF(Tabela5[[#This Row],[Dim_Cenario'[Nome Cenario']]]=Tabela5[[#Headers],[Realizado]],Tabela5[[#This Row],['[Valores_cenario']]],0)</f>
        <v>0</v>
      </c>
    </row>
    <row r="317" hidden="1" spans="1:16">
      <c r="A317" t="s">
        <v>152</v>
      </c>
      <c r="B317" t="s">
        <v>18</v>
      </c>
      <c r="C317" t="s">
        <v>19</v>
      </c>
      <c r="D317" t="s">
        <v>20</v>
      </c>
      <c r="E317">
        <v>2021</v>
      </c>
      <c r="F317" t="s">
        <v>25</v>
      </c>
      <c r="G317" t="s">
        <v>26</v>
      </c>
      <c r="H317">
        <v>2</v>
      </c>
      <c r="I317">
        <v>81227.885</v>
      </c>
      <c r="J317" t="s">
        <v>36</v>
      </c>
      <c r="K317" s="3"/>
      <c r="N317" s="6">
        <f>IF(Tabela5[[#This Row],[Dim_Cenario'[Nome Cenario']]]=Tabela5[[#Headers],[INIC Atual]],Tabela5[[#This Row],['[Valores_cenario']]],0)</f>
        <v>81227.885</v>
      </c>
      <c r="O317" s="6">
        <f>IF(Tabela5[[#This Row],[Dim_Cenario'[Nome Cenario']]]=Tabela5[[#Headers],[Revisado]],Tabela5[[#This Row],['[Valores_cenario']]],0)</f>
        <v>0</v>
      </c>
      <c r="P317" s="6">
        <f>IF(Tabela5[[#This Row],[Dim_Cenario'[Nome Cenario']]]=Tabela5[[#Headers],[Realizado]],Tabela5[[#This Row],['[Valores_cenario']]],0)</f>
        <v>0</v>
      </c>
    </row>
    <row r="318" hidden="1" spans="1:16">
      <c r="A318" t="s">
        <v>152</v>
      </c>
      <c r="B318" t="s">
        <v>18</v>
      </c>
      <c r="C318" t="s">
        <v>19</v>
      </c>
      <c r="D318" t="s">
        <v>20</v>
      </c>
      <c r="E318">
        <v>2021</v>
      </c>
      <c r="F318" t="s">
        <v>21</v>
      </c>
      <c r="G318" t="s">
        <v>24</v>
      </c>
      <c r="H318">
        <v>11</v>
      </c>
      <c r="I318">
        <v>81227.885</v>
      </c>
      <c r="J318" t="s">
        <v>36</v>
      </c>
      <c r="K318" s="3"/>
      <c r="N318" s="6">
        <f>IF(Tabela5[[#This Row],[Dim_Cenario'[Nome Cenario']]]=Tabela5[[#Headers],[INIC Atual]],Tabela5[[#This Row],['[Valores_cenario']]],0)</f>
        <v>81227.885</v>
      </c>
      <c r="O318" s="6">
        <f>IF(Tabela5[[#This Row],[Dim_Cenario'[Nome Cenario']]]=Tabela5[[#Headers],[Revisado]],Tabela5[[#This Row],['[Valores_cenario']]],0)</f>
        <v>0</v>
      </c>
      <c r="P318" s="6">
        <f>IF(Tabela5[[#This Row],[Dim_Cenario'[Nome Cenario']]]=Tabela5[[#Headers],[Realizado]],Tabela5[[#This Row],['[Valores_cenario']]],0)</f>
        <v>0</v>
      </c>
    </row>
    <row r="319" spans="1:16">
      <c r="A319" t="s">
        <v>17</v>
      </c>
      <c r="B319" t="s">
        <v>18</v>
      </c>
      <c r="C319" t="s">
        <v>37</v>
      </c>
      <c r="D319" t="s">
        <v>15</v>
      </c>
      <c r="E319">
        <v>2024</v>
      </c>
      <c r="F319" t="s">
        <v>25</v>
      </c>
      <c r="G319" t="s">
        <v>35</v>
      </c>
      <c r="H319">
        <v>1</v>
      </c>
      <c r="I319">
        <v>5225.23</v>
      </c>
      <c r="J319" t="s">
        <v>23</v>
      </c>
      <c r="K319" s="3">
        <v>45292</v>
      </c>
      <c r="L319" t="s">
        <v>50</v>
      </c>
      <c r="M319" t="s">
        <v>153</v>
      </c>
      <c r="N319" s="6">
        <f>IF(Tabela5[[#This Row],[Dim_Cenario'[Nome Cenario']]]=Tabela5[[#Headers],[INIC Atual]],Tabela5[[#This Row],['[Valores_cenario']]],0)</f>
        <v>0</v>
      </c>
      <c r="O319" s="6">
        <f>IF(Tabela5[[#This Row],[Dim_Cenario'[Nome Cenario']]]=Tabela5[[#Headers],[Revisado]],Tabela5[[#This Row],['[Valores_cenario']]],0)</f>
        <v>0</v>
      </c>
      <c r="P319" s="6">
        <f>IF(Tabela5[[#This Row],[Dim_Cenario'[Nome Cenario']]]=Tabela5[[#Headers],[Realizado]],Tabela5[[#This Row],['[Valores_cenario']]],0)</f>
        <v>5225.23</v>
      </c>
    </row>
    <row r="320" spans="1:16">
      <c r="A320" t="s">
        <v>17</v>
      </c>
      <c r="B320" t="s">
        <v>18</v>
      </c>
      <c r="C320" t="s">
        <v>37</v>
      </c>
      <c r="D320" t="s">
        <v>15</v>
      </c>
      <c r="E320">
        <v>2019</v>
      </c>
      <c r="F320" t="s">
        <v>30</v>
      </c>
      <c r="G320" t="s">
        <v>40</v>
      </c>
      <c r="H320">
        <v>7</v>
      </c>
      <c r="I320">
        <v>5184.8</v>
      </c>
      <c r="J320" t="s">
        <v>36</v>
      </c>
      <c r="K320" s="3">
        <v>43665</v>
      </c>
      <c r="L320" t="s">
        <v>48</v>
      </c>
      <c r="M320" t="s">
        <v>154</v>
      </c>
      <c r="N320" s="6">
        <f>IF(Tabela5[[#This Row],[Dim_Cenario'[Nome Cenario']]]=Tabela5[[#Headers],[INIC Atual]],Tabela5[[#This Row],['[Valores_cenario']]],0)</f>
        <v>0</v>
      </c>
      <c r="O320" s="6">
        <f>IF(Tabela5[[#This Row],[Dim_Cenario'[Nome Cenario']]]=Tabela5[[#Headers],[Revisado]],Tabela5[[#This Row],['[Valores_cenario']]],0)</f>
        <v>0</v>
      </c>
      <c r="P320" s="6">
        <f>IF(Tabela5[[#This Row],[Dim_Cenario'[Nome Cenario']]]=Tabela5[[#Headers],[Realizado]],Tabela5[[#This Row],['[Valores_cenario']]],0)</f>
        <v>5184.8</v>
      </c>
    </row>
    <row r="321" spans="1:16">
      <c r="A321" t="s">
        <v>17</v>
      </c>
      <c r="B321" t="s">
        <v>18</v>
      </c>
      <c r="C321" t="s">
        <v>37</v>
      </c>
      <c r="D321" t="s">
        <v>15</v>
      </c>
      <c r="E321">
        <v>2020</v>
      </c>
      <c r="F321" t="s">
        <v>30</v>
      </c>
      <c r="G321" t="s">
        <v>31</v>
      </c>
      <c r="H321">
        <v>8</v>
      </c>
      <c r="I321">
        <v>5184.8</v>
      </c>
      <c r="J321" t="s">
        <v>36</v>
      </c>
      <c r="K321" s="3">
        <v>44063</v>
      </c>
      <c r="L321" t="s">
        <v>48</v>
      </c>
      <c r="M321" t="s">
        <v>155</v>
      </c>
      <c r="N321" s="6">
        <f>IF(Tabela5[[#This Row],[Dim_Cenario'[Nome Cenario']]]=Tabela5[[#Headers],[INIC Atual]],Tabela5[[#This Row],['[Valores_cenario']]],0)</f>
        <v>0</v>
      </c>
      <c r="O321" s="6">
        <f>IF(Tabela5[[#This Row],[Dim_Cenario'[Nome Cenario']]]=Tabela5[[#Headers],[Revisado]],Tabela5[[#This Row],['[Valores_cenario']]],0)</f>
        <v>0</v>
      </c>
      <c r="P321" s="6">
        <f>IF(Tabela5[[#This Row],[Dim_Cenario'[Nome Cenario']]]=Tabela5[[#Headers],[Realizado]],Tabela5[[#This Row],['[Valores_cenario']]],0)</f>
        <v>5184.8</v>
      </c>
    </row>
    <row r="322" spans="1:16">
      <c r="A322" t="s">
        <v>17</v>
      </c>
      <c r="B322" t="s">
        <v>18</v>
      </c>
      <c r="C322" t="s">
        <v>37</v>
      </c>
      <c r="D322" t="s">
        <v>15</v>
      </c>
      <c r="E322">
        <v>2020</v>
      </c>
      <c r="F322" t="s">
        <v>30</v>
      </c>
      <c r="G322" t="s">
        <v>41</v>
      </c>
      <c r="H322">
        <v>9</v>
      </c>
      <c r="I322">
        <v>5184.8</v>
      </c>
      <c r="J322" t="s">
        <v>36</v>
      </c>
      <c r="K322" s="3">
        <v>44095</v>
      </c>
      <c r="L322" t="s">
        <v>48</v>
      </c>
      <c r="M322" t="s">
        <v>156</v>
      </c>
      <c r="N322" s="6">
        <f>IF(Tabela5[[#This Row],[Dim_Cenario'[Nome Cenario']]]=Tabela5[[#Headers],[INIC Atual]],Tabela5[[#This Row],['[Valores_cenario']]],0)</f>
        <v>0</v>
      </c>
      <c r="O322" s="6">
        <f>IF(Tabela5[[#This Row],[Dim_Cenario'[Nome Cenario']]]=Tabela5[[#Headers],[Revisado]],Tabela5[[#This Row],['[Valores_cenario']]],0)</f>
        <v>0</v>
      </c>
      <c r="P322" s="6">
        <f>IF(Tabela5[[#This Row],[Dim_Cenario'[Nome Cenario']]]=Tabela5[[#Headers],[Realizado]],Tabela5[[#This Row],['[Valores_cenario']]],0)</f>
        <v>5184.8</v>
      </c>
    </row>
    <row r="323" spans="1:16">
      <c r="A323" t="s">
        <v>17</v>
      </c>
      <c r="B323" t="s">
        <v>18</v>
      </c>
      <c r="C323" t="s">
        <v>37</v>
      </c>
      <c r="D323" t="s">
        <v>15</v>
      </c>
      <c r="E323">
        <v>2023</v>
      </c>
      <c r="F323" t="s">
        <v>21</v>
      </c>
      <c r="G323" t="s">
        <v>22</v>
      </c>
      <c r="H323">
        <v>10</v>
      </c>
      <c r="I323">
        <v>5024.13</v>
      </c>
      <c r="J323" t="s">
        <v>23</v>
      </c>
      <c r="K323" s="3">
        <v>45230</v>
      </c>
      <c r="L323" t="s">
        <v>50</v>
      </c>
      <c r="M323" t="s">
        <v>157</v>
      </c>
      <c r="N323" s="6">
        <f>IF(Tabela5[[#This Row],[Dim_Cenario'[Nome Cenario']]]=Tabela5[[#Headers],[INIC Atual]],Tabela5[[#This Row],['[Valores_cenario']]],0)</f>
        <v>0</v>
      </c>
      <c r="O323" s="6">
        <f>IF(Tabela5[[#This Row],[Dim_Cenario'[Nome Cenario']]]=Tabela5[[#Headers],[Revisado]],Tabela5[[#This Row],['[Valores_cenario']]],0)</f>
        <v>0</v>
      </c>
      <c r="P323" s="6">
        <f>IF(Tabela5[[#This Row],[Dim_Cenario'[Nome Cenario']]]=Tabela5[[#Headers],[Realizado]],Tabela5[[#This Row],['[Valores_cenario']]],0)</f>
        <v>5024.13</v>
      </c>
    </row>
    <row r="324" spans="1:16">
      <c r="A324" t="s">
        <v>17</v>
      </c>
      <c r="B324" t="s">
        <v>92</v>
      </c>
      <c r="C324" t="s">
        <v>37</v>
      </c>
      <c r="D324" t="s">
        <v>15</v>
      </c>
      <c r="E324">
        <v>2024</v>
      </c>
      <c r="F324" t="s">
        <v>21</v>
      </c>
      <c r="G324" t="s">
        <v>22</v>
      </c>
      <c r="H324">
        <v>10</v>
      </c>
      <c r="I324">
        <v>5003.65</v>
      </c>
      <c r="J324" t="s">
        <v>23</v>
      </c>
      <c r="K324" s="3">
        <v>45596</v>
      </c>
      <c r="M324" t="s">
        <v>158</v>
      </c>
      <c r="N324" s="6">
        <f>IF(Tabela5[[#This Row],[Dim_Cenario'[Nome Cenario']]]=Tabela5[[#Headers],[INIC Atual]],Tabela5[[#This Row],['[Valores_cenario']]],0)</f>
        <v>0</v>
      </c>
      <c r="O324" s="6">
        <f>IF(Tabela5[[#This Row],[Dim_Cenario'[Nome Cenario']]]=Tabela5[[#Headers],[Revisado]],Tabela5[[#This Row],['[Valores_cenario']]],0)</f>
        <v>0</v>
      </c>
      <c r="P324" s="6">
        <f>IF(Tabela5[[#This Row],[Dim_Cenario'[Nome Cenario']]]=Tabela5[[#Headers],[Realizado]],Tabela5[[#This Row],['[Valores_cenario']]],0)</f>
        <v>5003.65</v>
      </c>
    </row>
    <row r="325" spans="1:16">
      <c r="A325" t="s">
        <v>17</v>
      </c>
      <c r="B325" t="s">
        <v>18</v>
      </c>
      <c r="C325" t="s">
        <v>37</v>
      </c>
      <c r="D325" t="s">
        <v>15</v>
      </c>
      <c r="E325">
        <v>2023</v>
      </c>
      <c r="F325" t="s">
        <v>27</v>
      </c>
      <c r="G325" t="s">
        <v>39</v>
      </c>
      <c r="H325">
        <v>5</v>
      </c>
      <c r="I325">
        <v>5000</v>
      </c>
      <c r="J325" t="s">
        <v>23</v>
      </c>
      <c r="K325" s="3">
        <v>45065</v>
      </c>
      <c r="L325" t="s">
        <v>159</v>
      </c>
      <c r="M325" t="s">
        <v>160</v>
      </c>
      <c r="N325" s="6">
        <f>IF(Tabela5[[#This Row],[Dim_Cenario'[Nome Cenario']]]=Tabela5[[#Headers],[INIC Atual]],Tabela5[[#This Row],['[Valores_cenario']]],0)</f>
        <v>0</v>
      </c>
      <c r="O325" s="6">
        <f>IF(Tabela5[[#This Row],[Dim_Cenario'[Nome Cenario']]]=Tabela5[[#Headers],[Revisado]],Tabela5[[#This Row],['[Valores_cenario']]],0)</f>
        <v>0</v>
      </c>
      <c r="P325" s="6">
        <f>IF(Tabela5[[#This Row],[Dim_Cenario'[Nome Cenario']]]=Tabela5[[#Headers],[Realizado]],Tabela5[[#This Row],['[Valores_cenario']]],0)</f>
        <v>5000</v>
      </c>
    </row>
    <row r="326" spans="1:16">
      <c r="A326" t="s">
        <v>17</v>
      </c>
      <c r="B326" t="s">
        <v>18</v>
      </c>
      <c r="C326" t="s">
        <v>37</v>
      </c>
      <c r="D326" t="s">
        <v>15</v>
      </c>
      <c r="E326">
        <v>2020</v>
      </c>
      <c r="F326" t="s">
        <v>25</v>
      </c>
      <c r="G326" t="s">
        <v>35</v>
      </c>
      <c r="H326">
        <v>1</v>
      </c>
      <c r="I326">
        <v>4980</v>
      </c>
      <c r="J326" t="s">
        <v>36</v>
      </c>
      <c r="K326" s="3">
        <v>43860</v>
      </c>
      <c r="L326" t="s">
        <v>50</v>
      </c>
      <c r="M326" t="s">
        <v>161</v>
      </c>
      <c r="N326" s="6">
        <f>IF(Tabela5[[#This Row],[Dim_Cenario'[Nome Cenario']]]=Tabela5[[#Headers],[INIC Atual]],Tabela5[[#This Row],['[Valores_cenario']]],0)</f>
        <v>0</v>
      </c>
      <c r="O326" s="6">
        <f>IF(Tabela5[[#This Row],[Dim_Cenario'[Nome Cenario']]]=Tabela5[[#Headers],[Revisado]],Tabela5[[#This Row],['[Valores_cenario']]],0)</f>
        <v>0</v>
      </c>
      <c r="P326" s="6">
        <f>IF(Tabela5[[#This Row],[Dim_Cenario'[Nome Cenario']]]=Tabela5[[#Headers],[Realizado]],Tabela5[[#This Row],['[Valores_cenario']]],0)</f>
        <v>4980</v>
      </c>
    </row>
    <row r="327" spans="1:16">
      <c r="A327" t="s">
        <v>17</v>
      </c>
      <c r="B327" t="s">
        <v>18</v>
      </c>
      <c r="C327" t="s">
        <v>37</v>
      </c>
      <c r="D327" t="s">
        <v>15</v>
      </c>
      <c r="E327">
        <v>2020</v>
      </c>
      <c r="F327" t="s">
        <v>25</v>
      </c>
      <c r="G327" t="s">
        <v>26</v>
      </c>
      <c r="H327">
        <v>2</v>
      </c>
      <c r="I327">
        <v>4920</v>
      </c>
      <c r="J327" t="s">
        <v>36</v>
      </c>
      <c r="K327" s="3">
        <v>43888</v>
      </c>
      <c r="L327" t="s">
        <v>50</v>
      </c>
      <c r="M327" t="s">
        <v>162</v>
      </c>
      <c r="N327" s="6">
        <f>IF(Tabela5[[#This Row],[Dim_Cenario'[Nome Cenario']]]=Tabela5[[#Headers],[INIC Atual]],Tabela5[[#This Row],['[Valores_cenario']]],0)</f>
        <v>0</v>
      </c>
      <c r="O327" s="6">
        <f>IF(Tabela5[[#This Row],[Dim_Cenario'[Nome Cenario']]]=Tabela5[[#Headers],[Revisado]],Tabela5[[#This Row],['[Valores_cenario']]],0)</f>
        <v>0</v>
      </c>
      <c r="P327" s="6">
        <f>IF(Tabela5[[#This Row],[Dim_Cenario'[Nome Cenario']]]=Tabela5[[#Headers],[Realizado]],Tabela5[[#This Row],['[Valores_cenario']]],0)</f>
        <v>4920</v>
      </c>
    </row>
    <row r="328" spans="1:16">
      <c r="A328" t="s">
        <v>17</v>
      </c>
      <c r="B328" t="s">
        <v>18</v>
      </c>
      <c r="C328" t="s">
        <v>37</v>
      </c>
      <c r="D328" t="s">
        <v>15</v>
      </c>
      <c r="E328">
        <v>2019</v>
      </c>
      <c r="F328" t="s">
        <v>25</v>
      </c>
      <c r="G328" t="s">
        <v>38</v>
      </c>
      <c r="H328">
        <v>3</v>
      </c>
      <c r="I328">
        <v>4907.5</v>
      </c>
      <c r="J328" t="s">
        <v>36</v>
      </c>
      <c r="K328" s="3">
        <v>43552</v>
      </c>
      <c r="L328" t="s">
        <v>56</v>
      </c>
      <c r="M328" t="s">
        <v>163</v>
      </c>
      <c r="N328" s="6">
        <f>IF(Tabela5[[#This Row],[Dim_Cenario'[Nome Cenario']]]=Tabela5[[#Headers],[INIC Atual]],Tabela5[[#This Row],['[Valores_cenario']]],0)</f>
        <v>0</v>
      </c>
      <c r="O328" s="6">
        <f>IF(Tabela5[[#This Row],[Dim_Cenario'[Nome Cenario']]]=Tabela5[[#Headers],[Revisado]],Tabela5[[#This Row],['[Valores_cenario']]],0)</f>
        <v>0</v>
      </c>
      <c r="P328" s="6">
        <f>IF(Tabela5[[#This Row],[Dim_Cenario'[Nome Cenario']]]=Tabela5[[#Headers],[Realizado]],Tabela5[[#This Row],['[Valores_cenario']]],0)</f>
        <v>4907.5</v>
      </c>
    </row>
    <row r="329" spans="1:16">
      <c r="A329" t="s">
        <v>17</v>
      </c>
      <c r="B329" t="s">
        <v>18</v>
      </c>
      <c r="C329" t="s">
        <v>37</v>
      </c>
      <c r="D329" t="s">
        <v>15</v>
      </c>
      <c r="E329">
        <v>2024</v>
      </c>
      <c r="F329" t="s">
        <v>30</v>
      </c>
      <c r="G329" t="s">
        <v>31</v>
      </c>
      <c r="H329">
        <v>8</v>
      </c>
      <c r="I329">
        <v>4887.04</v>
      </c>
      <c r="J329" t="s">
        <v>23</v>
      </c>
      <c r="K329" s="3">
        <v>45511</v>
      </c>
      <c r="L329" t="s">
        <v>164</v>
      </c>
      <c r="M329" t="s">
        <v>165</v>
      </c>
      <c r="N329" s="6">
        <f>IF(Tabela5[[#This Row],[Dim_Cenario'[Nome Cenario']]]=Tabela5[[#Headers],[INIC Atual]],Tabela5[[#This Row],['[Valores_cenario']]],0)</f>
        <v>0</v>
      </c>
      <c r="O329" s="6">
        <f>IF(Tabela5[[#This Row],[Dim_Cenario'[Nome Cenario']]]=Tabela5[[#Headers],[Revisado]],Tabela5[[#This Row],['[Valores_cenario']]],0)</f>
        <v>0</v>
      </c>
      <c r="P329" s="6">
        <f>IF(Tabela5[[#This Row],[Dim_Cenario'[Nome Cenario']]]=Tabela5[[#Headers],[Realizado]],Tabela5[[#This Row],['[Valores_cenario']]],0)</f>
        <v>4887.04</v>
      </c>
    </row>
    <row r="330" spans="1:16">
      <c r="A330" t="s">
        <v>17</v>
      </c>
      <c r="B330" t="s">
        <v>18</v>
      </c>
      <c r="C330" t="s">
        <v>37</v>
      </c>
      <c r="D330" t="s">
        <v>15</v>
      </c>
      <c r="E330">
        <v>2022</v>
      </c>
      <c r="F330" t="s">
        <v>21</v>
      </c>
      <c r="G330" t="s">
        <v>22</v>
      </c>
      <c r="H330">
        <v>10</v>
      </c>
      <c r="I330">
        <v>4830</v>
      </c>
      <c r="J330" t="s">
        <v>23</v>
      </c>
      <c r="K330" s="3">
        <v>44855</v>
      </c>
      <c r="L330" t="s">
        <v>166</v>
      </c>
      <c r="M330" t="s">
        <v>167</v>
      </c>
      <c r="N330" s="6">
        <f>IF(Tabela5[[#This Row],[Dim_Cenario'[Nome Cenario']]]=Tabela5[[#Headers],[INIC Atual]],Tabela5[[#This Row],['[Valores_cenario']]],0)</f>
        <v>0</v>
      </c>
      <c r="O330" s="6">
        <f>IF(Tabela5[[#This Row],[Dim_Cenario'[Nome Cenario']]]=Tabela5[[#Headers],[Revisado]],Tabela5[[#This Row],['[Valores_cenario']]],0)</f>
        <v>0</v>
      </c>
      <c r="P330" s="6">
        <f>IF(Tabela5[[#This Row],[Dim_Cenario'[Nome Cenario']]]=Tabela5[[#Headers],[Realizado]],Tabela5[[#This Row],['[Valores_cenario']]],0)</f>
        <v>4830</v>
      </c>
    </row>
    <row r="331" spans="1:16">
      <c r="A331" t="s">
        <v>17</v>
      </c>
      <c r="B331" t="s">
        <v>92</v>
      </c>
      <c r="C331" t="s">
        <v>37</v>
      </c>
      <c r="D331" t="s">
        <v>15</v>
      </c>
      <c r="E331">
        <v>2025</v>
      </c>
      <c r="F331" t="s">
        <v>21</v>
      </c>
      <c r="G331" t="s">
        <v>22</v>
      </c>
      <c r="H331">
        <v>10</v>
      </c>
      <c r="I331">
        <v>4785.61</v>
      </c>
      <c r="J331" t="s">
        <v>33</v>
      </c>
      <c r="K331" s="3">
        <v>45961</v>
      </c>
      <c r="M331" t="s">
        <v>168</v>
      </c>
      <c r="N331" s="6">
        <f>IF(Tabela5[[#This Row],[Dim_Cenario'[Nome Cenario']]]=Tabela5[[#Headers],[INIC Atual]],Tabela5[[#This Row],['[Valores_cenario']]],0)</f>
        <v>0</v>
      </c>
      <c r="O331" s="6">
        <f>IF(Tabela5[[#This Row],[Dim_Cenario'[Nome Cenario']]]=Tabela5[[#Headers],[Revisado]],Tabela5[[#This Row],['[Valores_cenario']]],0)</f>
        <v>0</v>
      </c>
      <c r="P331" s="6">
        <f>IF(Tabela5[[#This Row],[Dim_Cenario'[Nome Cenario']]]=Tabela5[[#Headers],[Realizado]],Tabela5[[#This Row],['[Valores_cenario']]],0)</f>
        <v>4785.61</v>
      </c>
    </row>
    <row r="332" spans="1:16">
      <c r="A332" t="s">
        <v>17</v>
      </c>
      <c r="B332" t="s">
        <v>18</v>
      </c>
      <c r="C332" t="s">
        <v>37</v>
      </c>
      <c r="D332" t="s">
        <v>15</v>
      </c>
      <c r="E332">
        <v>2019</v>
      </c>
      <c r="F332" t="s">
        <v>27</v>
      </c>
      <c r="G332" t="s">
        <v>39</v>
      </c>
      <c r="H332">
        <v>5</v>
      </c>
      <c r="I332">
        <v>4761.84</v>
      </c>
      <c r="J332" t="s">
        <v>36</v>
      </c>
      <c r="K332" s="3">
        <v>43609</v>
      </c>
      <c r="L332" t="s">
        <v>56</v>
      </c>
      <c r="M332" t="s">
        <v>169</v>
      </c>
      <c r="N332" s="6">
        <f>IF(Tabela5[[#This Row],[Dim_Cenario'[Nome Cenario']]]=Tabela5[[#Headers],[INIC Atual]],Tabela5[[#This Row],['[Valores_cenario']]],0)</f>
        <v>0</v>
      </c>
      <c r="O332" s="6">
        <f>IF(Tabela5[[#This Row],[Dim_Cenario'[Nome Cenario']]]=Tabela5[[#Headers],[Revisado]],Tabela5[[#This Row],['[Valores_cenario']]],0)</f>
        <v>0</v>
      </c>
      <c r="P332" s="6">
        <f>IF(Tabela5[[#This Row],[Dim_Cenario'[Nome Cenario']]]=Tabela5[[#Headers],[Realizado]],Tabela5[[#This Row],['[Valores_cenario']]],0)</f>
        <v>4761.84</v>
      </c>
    </row>
    <row r="333" hidden="1" spans="1:16">
      <c r="A333" t="s">
        <v>17</v>
      </c>
      <c r="B333" t="s">
        <v>18</v>
      </c>
      <c r="C333" t="s">
        <v>37</v>
      </c>
      <c r="D333" t="s">
        <v>15</v>
      </c>
      <c r="E333">
        <v>2021</v>
      </c>
      <c r="F333" t="s">
        <v>21</v>
      </c>
      <c r="G333" t="s">
        <v>22</v>
      </c>
      <c r="H333">
        <v>10</v>
      </c>
      <c r="I333">
        <v>20150</v>
      </c>
      <c r="J333" t="s">
        <v>36</v>
      </c>
      <c r="K333" s="3">
        <v>44498</v>
      </c>
      <c r="L333" t="s">
        <v>90</v>
      </c>
      <c r="M333" t="s">
        <v>170</v>
      </c>
      <c r="N333" s="6">
        <f>IF(Tabela5[[#This Row],[Dim_Cenario'[Nome Cenario']]]=Tabela5[[#Headers],[INIC Atual]],Tabela5[[#This Row],['[Valores_cenario']]],0)</f>
        <v>0</v>
      </c>
      <c r="O333" s="6">
        <f>IF(Tabela5[[#This Row],[Dim_Cenario'[Nome Cenario']]]=Tabela5[[#Headers],[Revisado]],Tabela5[[#This Row],['[Valores_cenario']]],0)</f>
        <v>0</v>
      </c>
      <c r="P333" s="6">
        <f>IF(Tabela5[[#This Row],[Dim_Cenario'[Nome Cenario']]]=Tabela5[[#Headers],[Realizado]],Tabela5[[#This Row],['[Valores_cenario']]],0)</f>
        <v>20150</v>
      </c>
    </row>
    <row r="334" spans="1:16">
      <c r="A334" t="s">
        <v>17</v>
      </c>
      <c r="B334" t="s">
        <v>18</v>
      </c>
      <c r="C334" t="s">
        <v>37</v>
      </c>
      <c r="D334" t="s">
        <v>15</v>
      </c>
      <c r="E334">
        <v>2021</v>
      </c>
      <c r="F334" t="s">
        <v>21</v>
      </c>
      <c r="G334" t="s">
        <v>24</v>
      </c>
      <c r="H334">
        <v>11</v>
      </c>
      <c r="I334">
        <v>4708.71</v>
      </c>
      <c r="J334" t="s">
        <v>36</v>
      </c>
      <c r="K334" s="3">
        <v>44522</v>
      </c>
      <c r="L334" t="s">
        <v>171</v>
      </c>
      <c r="M334" t="s">
        <v>172</v>
      </c>
      <c r="N334" s="6">
        <f>IF(Tabela5[[#This Row],[Dim_Cenario'[Nome Cenario']]]=Tabela5[[#Headers],[INIC Atual]],Tabela5[[#This Row],['[Valores_cenario']]],0)</f>
        <v>0</v>
      </c>
      <c r="O334" s="6">
        <f>IF(Tabela5[[#This Row],[Dim_Cenario'[Nome Cenario']]]=Tabela5[[#Headers],[Revisado]],Tabela5[[#This Row],['[Valores_cenario']]],0)</f>
        <v>0</v>
      </c>
      <c r="P334" s="6">
        <f>IF(Tabela5[[#This Row],[Dim_Cenario'[Nome Cenario']]]=Tabela5[[#Headers],[Realizado]],Tabela5[[#This Row],['[Valores_cenario']]],0)</f>
        <v>4708.71</v>
      </c>
    </row>
    <row r="335" spans="1:16">
      <c r="A335" t="s">
        <v>17</v>
      </c>
      <c r="B335" t="s">
        <v>92</v>
      </c>
      <c r="C335" t="s">
        <v>37</v>
      </c>
      <c r="D335" t="s">
        <v>15</v>
      </c>
      <c r="E335">
        <v>2022</v>
      </c>
      <c r="F335" t="s">
        <v>21</v>
      </c>
      <c r="G335" t="s">
        <v>22</v>
      </c>
      <c r="H335">
        <v>10</v>
      </c>
      <c r="I335">
        <v>4659.02</v>
      </c>
      <c r="J335" t="s">
        <v>23</v>
      </c>
      <c r="K335" s="3">
        <v>44865</v>
      </c>
      <c r="M335" t="s">
        <v>173</v>
      </c>
      <c r="N335" s="6">
        <f>IF(Tabela5[[#This Row],[Dim_Cenario'[Nome Cenario']]]=Tabela5[[#Headers],[INIC Atual]],Tabela5[[#This Row],['[Valores_cenario']]],0)</f>
        <v>0</v>
      </c>
      <c r="O335" s="6">
        <f>IF(Tabela5[[#This Row],[Dim_Cenario'[Nome Cenario']]]=Tabela5[[#Headers],[Revisado]],Tabela5[[#This Row],['[Valores_cenario']]],0)</f>
        <v>0</v>
      </c>
      <c r="P335" s="6">
        <f>IF(Tabela5[[#This Row],[Dim_Cenario'[Nome Cenario']]]=Tabela5[[#Headers],[Realizado]],Tabela5[[#This Row],['[Valores_cenario']]],0)</f>
        <v>4659.02</v>
      </c>
    </row>
    <row r="336" spans="1:16">
      <c r="A336" t="s">
        <v>17</v>
      </c>
      <c r="B336" t="s">
        <v>18</v>
      </c>
      <c r="C336" t="s">
        <v>37</v>
      </c>
      <c r="D336" t="s">
        <v>15</v>
      </c>
      <c r="E336">
        <v>2021</v>
      </c>
      <c r="F336" t="s">
        <v>30</v>
      </c>
      <c r="G336" t="s">
        <v>41</v>
      </c>
      <c r="H336">
        <v>9</v>
      </c>
      <c r="I336">
        <v>4650</v>
      </c>
      <c r="J336" t="s">
        <v>36</v>
      </c>
      <c r="K336" s="3">
        <v>44469</v>
      </c>
      <c r="L336" t="s">
        <v>90</v>
      </c>
      <c r="M336" t="s">
        <v>174</v>
      </c>
      <c r="N336" s="6">
        <f>IF(Tabela5[[#This Row],[Dim_Cenario'[Nome Cenario']]]=Tabela5[[#Headers],[INIC Atual]],Tabela5[[#This Row],['[Valores_cenario']]],0)</f>
        <v>0</v>
      </c>
      <c r="O336" s="6">
        <f>IF(Tabela5[[#This Row],[Dim_Cenario'[Nome Cenario']]]=Tabela5[[#Headers],[Revisado]],Tabela5[[#This Row],['[Valores_cenario']]],0)</f>
        <v>0</v>
      </c>
      <c r="P336" s="6">
        <f>IF(Tabela5[[#This Row],[Dim_Cenario'[Nome Cenario']]]=Tabela5[[#Headers],[Realizado]],Tabela5[[#This Row],['[Valores_cenario']]],0)</f>
        <v>4650</v>
      </c>
    </row>
    <row r="337" spans="1:16">
      <c r="A337" t="s">
        <v>17</v>
      </c>
      <c r="B337" t="s">
        <v>92</v>
      </c>
      <c r="C337" t="s">
        <v>37</v>
      </c>
      <c r="D337" t="s">
        <v>15</v>
      </c>
      <c r="E337">
        <v>2023</v>
      </c>
      <c r="F337" t="s">
        <v>21</v>
      </c>
      <c r="G337" t="s">
        <v>22</v>
      </c>
      <c r="H337">
        <v>10</v>
      </c>
      <c r="I337">
        <v>4628.09</v>
      </c>
      <c r="J337" t="s">
        <v>23</v>
      </c>
      <c r="K337" s="3">
        <v>45230</v>
      </c>
      <c r="M337" t="s">
        <v>175</v>
      </c>
      <c r="N337" s="6">
        <f>IF(Tabela5[[#This Row],[Dim_Cenario'[Nome Cenario']]]=Tabela5[[#Headers],[INIC Atual]],Tabela5[[#This Row],['[Valores_cenario']]],0)</f>
        <v>0</v>
      </c>
      <c r="O337" s="6">
        <f>IF(Tabela5[[#This Row],[Dim_Cenario'[Nome Cenario']]]=Tabela5[[#Headers],[Revisado]],Tabela5[[#This Row],['[Valores_cenario']]],0)</f>
        <v>0</v>
      </c>
      <c r="P337" s="6">
        <f>IF(Tabela5[[#This Row],[Dim_Cenario'[Nome Cenario']]]=Tabela5[[#Headers],[Realizado]],Tabela5[[#This Row],['[Valores_cenario']]],0)</f>
        <v>4628.09</v>
      </c>
    </row>
    <row r="338" spans="1:16">
      <c r="A338" t="s">
        <v>17</v>
      </c>
      <c r="B338" t="s">
        <v>18</v>
      </c>
      <c r="C338" t="s">
        <v>37</v>
      </c>
      <c r="D338" t="s">
        <v>15</v>
      </c>
      <c r="E338">
        <v>2019</v>
      </c>
      <c r="F338" t="s">
        <v>27</v>
      </c>
      <c r="G338" t="s">
        <v>39</v>
      </c>
      <c r="H338">
        <v>5</v>
      </c>
      <c r="I338">
        <v>4536.7</v>
      </c>
      <c r="J338" t="s">
        <v>36</v>
      </c>
      <c r="K338" s="3">
        <v>43591</v>
      </c>
      <c r="L338" t="s">
        <v>48</v>
      </c>
      <c r="M338" t="s">
        <v>176</v>
      </c>
      <c r="N338" s="6">
        <f>IF(Tabela5[[#This Row],[Dim_Cenario'[Nome Cenario']]]=Tabela5[[#Headers],[INIC Atual]],Tabela5[[#This Row],['[Valores_cenario']]],0)</f>
        <v>0</v>
      </c>
      <c r="O338" s="6">
        <f>IF(Tabela5[[#This Row],[Dim_Cenario'[Nome Cenario']]]=Tabela5[[#Headers],[Revisado]],Tabela5[[#This Row],['[Valores_cenario']]],0)</f>
        <v>0</v>
      </c>
      <c r="P338" s="6">
        <f>IF(Tabela5[[#This Row],[Dim_Cenario'[Nome Cenario']]]=Tabela5[[#Headers],[Realizado]],Tabela5[[#This Row],['[Valores_cenario']]],0)</f>
        <v>4536.7</v>
      </c>
    </row>
    <row r="339" spans="1:16">
      <c r="A339" t="s">
        <v>17</v>
      </c>
      <c r="B339" t="s">
        <v>18</v>
      </c>
      <c r="C339" t="s">
        <v>37</v>
      </c>
      <c r="D339" t="s">
        <v>15</v>
      </c>
      <c r="E339">
        <v>2020</v>
      </c>
      <c r="F339" t="s">
        <v>21</v>
      </c>
      <c r="G339" t="s">
        <v>22</v>
      </c>
      <c r="H339">
        <v>10</v>
      </c>
      <c r="I339">
        <v>4536.7</v>
      </c>
      <c r="J339" t="s">
        <v>36</v>
      </c>
      <c r="K339" s="3">
        <v>44131</v>
      </c>
      <c r="L339" t="s">
        <v>48</v>
      </c>
      <c r="M339" t="s">
        <v>177</v>
      </c>
      <c r="N339" s="6">
        <f>IF(Tabela5[[#This Row],[Dim_Cenario'[Nome Cenario']]]=Tabela5[[#Headers],[INIC Atual]],Tabela5[[#This Row],['[Valores_cenario']]],0)</f>
        <v>0</v>
      </c>
      <c r="O339" s="6">
        <f>IF(Tabela5[[#This Row],[Dim_Cenario'[Nome Cenario']]]=Tabela5[[#Headers],[Revisado]],Tabela5[[#This Row],['[Valores_cenario']]],0)</f>
        <v>0</v>
      </c>
      <c r="P339" s="6">
        <f>IF(Tabela5[[#This Row],[Dim_Cenario'[Nome Cenario']]]=Tabela5[[#Headers],[Realizado]],Tabela5[[#This Row],['[Valores_cenario']]],0)</f>
        <v>4536.7</v>
      </c>
    </row>
    <row r="340" hidden="1" spans="1:16">
      <c r="A340" t="s">
        <v>17</v>
      </c>
      <c r="B340" t="s">
        <v>18</v>
      </c>
      <c r="C340" t="s">
        <v>37</v>
      </c>
      <c r="D340" t="s">
        <v>15</v>
      </c>
      <c r="E340">
        <v>2021</v>
      </c>
      <c r="F340" t="s">
        <v>21</v>
      </c>
      <c r="G340" t="s">
        <v>32</v>
      </c>
      <c r="H340">
        <v>12</v>
      </c>
      <c r="I340">
        <v>16500.4</v>
      </c>
      <c r="J340" t="s">
        <v>36</v>
      </c>
      <c r="K340" s="3">
        <v>44560</v>
      </c>
      <c r="L340" t="s">
        <v>100</v>
      </c>
      <c r="M340" t="s">
        <v>178</v>
      </c>
      <c r="N340" s="6">
        <f>IF(Tabela5[[#This Row],[Dim_Cenario'[Nome Cenario']]]=Tabela5[[#Headers],[INIC Atual]],Tabela5[[#This Row],['[Valores_cenario']]],0)</f>
        <v>0</v>
      </c>
      <c r="O340" s="6">
        <f>IF(Tabela5[[#This Row],[Dim_Cenario'[Nome Cenario']]]=Tabela5[[#Headers],[Revisado]],Tabela5[[#This Row],['[Valores_cenario']]],0)</f>
        <v>0</v>
      </c>
      <c r="P340" s="6">
        <f>IF(Tabela5[[#This Row],[Dim_Cenario'[Nome Cenario']]]=Tabela5[[#Headers],[Realizado]],Tabela5[[#This Row],['[Valores_cenario']]],0)</f>
        <v>16500.4</v>
      </c>
    </row>
    <row r="341" spans="1:16">
      <c r="A341" t="s">
        <v>17</v>
      </c>
      <c r="B341" t="s">
        <v>18</v>
      </c>
      <c r="C341" t="s">
        <v>37</v>
      </c>
      <c r="D341" t="s">
        <v>15</v>
      </c>
      <c r="E341">
        <v>2020</v>
      </c>
      <c r="F341" t="s">
        <v>27</v>
      </c>
      <c r="G341" t="s">
        <v>28</v>
      </c>
      <c r="H341">
        <v>4</v>
      </c>
      <c r="I341">
        <v>4257.69</v>
      </c>
      <c r="J341" t="s">
        <v>36</v>
      </c>
      <c r="K341" s="3">
        <v>43943</v>
      </c>
      <c r="L341" t="s">
        <v>48</v>
      </c>
      <c r="M341" t="s">
        <v>179</v>
      </c>
      <c r="N341" s="6">
        <f>IF(Tabela5[[#This Row],[Dim_Cenario'[Nome Cenario']]]=Tabela5[[#Headers],[INIC Atual]],Tabela5[[#This Row],['[Valores_cenario']]],0)</f>
        <v>0</v>
      </c>
      <c r="O341" s="6">
        <f>IF(Tabela5[[#This Row],[Dim_Cenario'[Nome Cenario']]]=Tabela5[[#Headers],[Revisado]],Tabela5[[#This Row],['[Valores_cenario']]],0)</f>
        <v>0</v>
      </c>
      <c r="P341" s="6">
        <f>IF(Tabela5[[#This Row],[Dim_Cenario'[Nome Cenario']]]=Tabela5[[#Headers],[Realizado]],Tabela5[[#This Row],['[Valores_cenario']]],0)</f>
        <v>4257.69</v>
      </c>
    </row>
    <row r="342" hidden="1" spans="1:16">
      <c r="A342" t="s">
        <v>17</v>
      </c>
      <c r="B342" t="s">
        <v>18</v>
      </c>
      <c r="C342" t="s">
        <v>37</v>
      </c>
      <c r="D342" t="s">
        <v>20</v>
      </c>
      <c r="E342">
        <v>2022</v>
      </c>
      <c r="F342" t="s">
        <v>25</v>
      </c>
      <c r="G342" t="s">
        <v>35</v>
      </c>
      <c r="H342">
        <v>1</v>
      </c>
      <c r="I342">
        <v>25637.13</v>
      </c>
      <c r="J342" t="s">
        <v>23</v>
      </c>
      <c r="K342" s="3"/>
      <c r="N342" s="6">
        <f>IF(Tabela5[[#This Row],[Dim_Cenario'[Nome Cenario']]]=Tabela5[[#Headers],[INIC Atual]],Tabela5[[#This Row],['[Valores_cenario']]],0)</f>
        <v>25637.13</v>
      </c>
      <c r="O342" s="6">
        <f>IF(Tabela5[[#This Row],[Dim_Cenario'[Nome Cenario']]]=Tabela5[[#Headers],[Revisado]],Tabela5[[#This Row],['[Valores_cenario']]],0)</f>
        <v>0</v>
      </c>
      <c r="P342" s="6">
        <f>IF(Tabela5[[#This Row],[Dim_Cenario'[Nome Cenario']]]=Tabela5[[#Headers],[Realizado]],Tabela5[[#This Row],['[Valores_cenario']]],0)</f>
        <v>0</v>
      </c>
    </row>
    <row r="343" hidden="1" spans="1:16">
      <c r="A343" t="s">
        <v>17</v>
      </c>
      <c r="B343" t="s">
        <v>18</v>
      </c>
      <c r="C343" t="s">
        <v>37</v>
      </c>
      <c r="D343" t="s">
        <v>20</v>
      </c>
      <c r="E343">
        <v>2022</v>
      </c>
      <c r="F343" t="s">
        <v>25</v>
      </c>
      <c r="G343" t="s">
        <v>26</v>
      </c>
      <c r="H343">
        <v>2</v>
      </c>
      <c r="I343">
        <v>25637.13</v>
      </c>
      <c r="J343" t="s">
        <v>23</v>
      </c>
      <c r="K343" s="3"/>
      <c r="N343" s="6">
        <f>IF(Tabela5[[#This Row],[Dim_Cenario'[Nome Cenario']]]=Tabela5[[#Headers],[INIC Atual]],Tabela5[[#This Row],['[Valores_cenario']]],0)</f>
        <v>25637.13</v>
      </c>
      <c r="O343" s="6">
        <f>IF(Tabela5[[#This Row],[Dim_Cenario'[Nome Cenario']]]=Tabela5[[#Headers],[Revisado]],Tabela5[[#This Row],['[Valores_cenario']]],0)</f>
        <v>0</v>
      </c>
      <c r="P343" s="6">
        <f>IF(Tabela5[[#This Row],[Dim_Cenario'[Nome Cenario']]]=Tabela5[[#Headers],[Realizado]],Tabela5[[#This Row],['[Valores_cenario']]],0)</f>
        <v>0</v>
      </c>
    </row>
    <row r="344" hidden="1" spans="1:16">
      <c r="A344" t="s">
        <v>17</v>
      </c>
      <c r="B344" t="s">
        <v>18</v>
      </c>
      <c r="C344" t="s">
        <v>37</v>
      </c>
      <c r="D344" t="s">
        <v>20</v>
      </c>
      <c r="E344">
        <v>2022</v>
      </c>
      <c r="F344" t="s">
        <v>25</v>
      </c>
      <c r="G344" t="s">
        <v>38</v>
      </c>
      <c r="H344">
        <v>3</v>
      </c>
      <c r="I344">
        <v>25637.13</v>
      </c>
      <c r="J344" t="s">
        <v>23</v>
      </c>
      <c r="K344" s="3"/>
      <c r="N344" s="6">
        <f>IF(Tabela5[[#This Row],[Dim_Cenario'[Nome Cenario']]]=Tabela5[[#Headers],[INIC Atual]],Tabela5[[#This Row],['[Valores_cenario']]],0)</f>
        <v>25637.13</v>
      </c>
      <c r="O344" s="6">
        <f>IF(Tabela5[[#This Row],[Dim_Cenario'[Nome Cenario']]]=Tabela5[[#Headers],[Revisado]],Tabela5[[#This Row],['[Valores_cenario']]],0)</f>
        <v>0</v>
      </c>
      <c r="P344" s="6">
        <f>IF(Tabela5[[#This Row],[Dim_Cenario'[Nome Cenario']]]=Tabela5[[#Headers],[Realizado]],Tabela5[[#This Row],['[Valores_cenario']]],0)</f>
        <v>0</v>
      </c>
    </row>
    <row r="345" hidden="1" spans="1:16">
      <c r="A345" t="s">
        <v>17</v>
      </c>
      <c r="B345" t="s">
        <v>18</v>
      </c>
      <c r="C345" t="s">
        <v>37</v>
      </c>
      <c r="D345" t="s">
        <v>20</v>
      </c>
      <c r="E345">
        <v>2022</v>
      </c>
      <c r="F345" t="s">
        <v>27</v>
      </c>
      <c r="G345" t="s">
        <v>28</v>
      </c>
      <c r="H345">
        <v>4</v>
      </c>
      <c r="I345">
        <v>25637.13</v>
      </c>
      <c r="J345" t="s">
        <v>23</v>
      </c>
      <c r="K345" s="3"/>
      <c r="N345" s="6">
        <f>IF(Tabela5[[#This Row],[Dim_Cenario'[Nome Cenario']]]=Tabela5[[#Headers],[INIC Atual]],Tabela5[[#This Row],['[Valores_cenario']]],0)</f>
        <v>25637.13</v>
      </c>
      <c r="O345" s="6">
        <f>IF(Tabela5[[#This Row],[Dim_Cenario'[Nome Cenario']]]=Tabela5[[#Headers],[Revisado]],Tabela5[[#This Row],['[Valores_cenario']]],0)</f>
        <v>0</v>
      </c>
      <c r="P345" s="6">
        <f>IF(Tabela5[[#This Row],[Dim_Cenario'[Nome Cenario']]]=Tabela5[[#Headers],[Realizado]],Tabela5[[#This Row],['[Valores_cenario']]],0)</f>
        <v>0</v>
      </c>
    </row>
    <row r="346" hidden="1" spans="1:16">
      <c r="A346" t="s">
        <v>17</v>
      </c>
      <c r="B346" t="s">
        <v>18</v>
      </c>
      <c r="C346" t="s">
        <v>37</v>
      </c>
      <c r="D346" t="s">
        <v>20</v>
      </c>
      <c r="E346">
        <v>2022</v>
      </c>
      <c r="F346" t="s">
        <v>27</v>
      </c>
      <c r="G346" t="s">
        <v>39</v>
      </c>
      <c r="H346">
        <v>5</v>
      </c>
      <c r="I346">
        <v>25637.13</v>
      </c>
      <c r="J346" t="s">
        <v>23</v>
      </c>
      <c r="K346" s="3"/>
      <c r="N346" s="6">
        <f>IF(Tabela5[[#This Row],[Dim_Cenario'[Nome Cenario']]]=Tabela5[[#Headers],[INIC Atual]],Tabela5[[#This Row],['[Valores_cenario']]],0)</f>
        <v>25637.13</v>
      </c>
      <c r="O346" s="6">
        <f>IF(Tabela5[[#This Row],[Dim_Cenario'[Nome Cenario']]]=Tabela5[[#Headers],[Revisado]],Tabela5[[#This Row],['[Valores_cenario']]],0)</f>
        <v>0</v>
      </c>
      <c r="P346" s="6">
        <f>IF(Tabela5[[#This Row],[Dim_Cenario'[Nome Cenario']]]=Tabela5[[#Headers],[Realizado]],Tabela5[[#This Row],['[Valores_cenario']]],0)</f>
        <v>0</v>
      </c>
    </row>
    <row r="347" hidden="1" spans="1:16">
      <c r="A347" t="s">
        <v>17</v>
      </c>
      <c r="B347" t="s">
        <v>18</v>
      </c>
      <c r="C347" t="s">
        <v>37</v>
      </c>
      <c r="D347" t="s">
        <v>20</v>
      </c>
      <c r="E347">
        <v>2022</v>
      </c>
      <c r="F347" t="s">
        <v>27</v>
      </c>
      <c r="G347" t="s">
        <v>29</v>
      </c>
      <c r="H347">
        <v>6</v>
      </c>
      <c r="I347">
        <v>25637.13</v>
      </c>
      <c r="J347" t="s">
        <v>23</v>
      </c>
      <c r="K347" s="3"/>
      <c r="N347" s="6">
        <f>IF(Tabela5[[#This Row],[Dim_Cenario'[Nome Cenario']]]=Tabela5[[#Headers],[INIC Atual]],Tabela5[[#This Row],['[Valores_cenario']]],0)</f>
        <v>25637.13</v>
      </c>
      <c r="O347" s="6">
        <f>IF(Tabela5[[#This Row],[Dim_Cenario'[Nome Cenario']]]=Tabela5[[#Headers],[Revisado]],Tabela5[[#This Row],['[Valores_cenario']]],0)</f>
        <v>0</v>
      </c>
      <c r="P347" s="6">
        <f>IF(Tabela5[[#This Row],[Dim_Cenario'[Nome Cenario']]]=Tabela5[[#Headers],[Realizado]],Tabela5[[#This Row],['[Valores_cenario']]],0)</f>
        <v>0</v>
      </c>
    </row>
    <row r="348" hidden="1" spans="1:16">
      <c r="A348" t="s">
        <v>17</v>
      </c>
      <c r="B348" t="s">
        <v>18</v>
      </c>
      <c r="C348" t="s">
        <v>37</v>
      </c>
      <c r="D348" t="s">
        <v>20</v>
      </c>
      <c r="E348">
        <v>2022</v>
      </c>
      <c r="F348" t="s">
        <v>30</v>
      </c>
      <c r="G348" t="s">
        <v>40</v>
      </c>
      <c r="H348">
        <v>7</v>
      </c>
      <c r="I348">
        <v>25637.13</v>
      </c>
      <c r="J348" t="s">
        <v>23</v>
      </c>
      <c r="K348" s="3"/>
      <c r="N348" s="6">
        <f>IF(Tabela5[[#This Row],[Dim_Cenario'[Nome Cenario']]]=Tabela5[[#Headers],[INIC Atual]],Tabela5[[#This Row],['[Valores_cenario']]],0)</f>
        <v>25637.13</v>
      </c>
      <c r="O348" s="6">
        <f>IF(Tabela5[[#This Row],[Dim_Cenario'[Nome Cenario']]]=Tabela5[[#Headers],[Revisado]],Tabela5[[#This Row],['[Valores_cenario']]],0)</f>
        <v>0</v>
      </c>
      <c r="P348" s="6">
        <f>IF(Tabela5[[#This Row],[Dim_Cenario'[Nome Cenario']]]=Tabela5[[#Headers],[Realizado]],Tabela5[[#This Row],['[Valores_cenario']]],0)</f>
        <v>0</v>
      </c>
    </row>
    <row r="349" hidden="1" spans="1:16">
      <c r="A349" t="s">
        <v>17</v>
      </c>
      <c r="B349" t="s">
        <v>18</v>
      </c>
      <c r="C349" t="s">
        <v>37</v>
      </c>
      <c r="D349" t="s">
        <v>20</v>
      </c>
      <c r="E349">
        <v>2022</v>
      </c>
      <c r="F349" t="s">
        <v>30</v>
      </c>
      <c r="G349" t="s">
        <v>31</v>
      </c>
      <c r="H349">
        <v>8</v>
      </c>
      <c r="I349">
        <v>25637.13</v>
      </c>
      <c r="J349" t="s">
        <v>23</v>
      </c>
      <c r="K349" s="3"/>
      <c r="N349" s="6">
        <f>IF(Tabela5[[#This Row],[Dim_Cenario'[Nome Cenario']]]=Tabela5[[#Headers],[INIC Atual]],Tabela5[[#This Row],['[Valores_cenario']]],0)</f>
        <v>25637.13</v>
      </c>
      <c r="O349" s="6">
        <f>IF(Tabela5[[#This Row],[Dim_Cenario'[Nome Cenario']]]=Tabela5[[#Headers],[Revisado]],Tabela5[[#This Row],['[Valores_cenario']]],0)</f>
        <v>0</v>
      </c>
      <c r="P349" s="6">
        <f>IF(Tabela5[[#This Row],[Dim_Cenario'[Nome Cenario']]]=Tabela5[[#Headers],[Realizado]],Tabela5[[#This Row],['[Valores_cenario']]],0)</f>
        <v>0</v>
      </c>
    </row>
    <row r="350" hidden="1" spans="1:16">
      <c r="A350" t="s">
        <v>17</v>
      </c>
      <c r="B350" t="s">
        <v>18</v>
      </c>
      <c r="C350" t="s">
        <v>37</v>
      </c>
      <c r="D350" t="s">
        <v>20</v>
      </c>
      <c r="E350">
        <v>2022</v>
      </c>
      <c r="F350" t="s">
        <v>30</v>
      </c>
      <c r="G350" t="s">
        <v>41</v>
      </c>
      <c r="H350">
        <v>9</v>
      </c>
      <c r="I350">
        <v>25637.13</v>
      </c>
      <c r="J350" t="s">
        <v>23</v>
      </c>
      <c r="K350" s="3"/>
      <c r="N350" s="6">
        <f>IF(Tabela5[[#This Row],[Dim_Cenario'[Nome Cenario']]]=Tabela5[[#Headers],[INIC Atual]],Tabela5[[#This Row],['[Valores_cenario']]],0)</f>
        <v>25637.13</v>
      </c>
      <c r="O350" s="6">
        <f>IF(Tabela5[[#This Row],[Dim_Cenario'[Nome Cenario']]]=Tabela5[[#Headers],[Revisado]],Tabela5[[#This Row],['[Valores_cenario']]],0)</f>
        <v>0</v>
      </c>
      <c r="P350" s="6">
        <f>IF(Tabela5[[#This Row],[Dim_Cenario'[Nome Cenario']]]=Tabela5[[#Headers],[Realizado]],Tabela5[[#This Row],['[Valores_cenario']]],0)</f>
        <v>0</v>
      </c>
    </row>
    <row r="351" hidden="1" spans="1:16">
      <c r="A351" t="s">
        <v>17</v>
      </c>
      <c r="B351" t="s">
        <v>18</v>
      </c>
      <c r="C351" t="s">
        <v>37</v>
      </c>
      <c r="D351" t="s">
        <v>20</v>
      </c>
      <c r="E351">
        <v>2022</v>
      </c>
      <c r="F351" t="s">
        <v>21</v>
      </c>
      <c r="G351" t="s">
        <v>22</v>
      </c>
      <c r="H351">
        <v>10</v>
      </c>
      <c r="I351">
        <v>25637.13</v>
      </c>
      <c r="J351" t="s">
        <v>23</v>
      </c>
      <c r="K351" s="3"/>
      <c r="N351" s="6">
        <f>IF(Tabela5[[#This Row],[Dim_Cenario'[Nome Cenario']]]=Tabela5[[#Headers],[INIC Atual]],Tabela5[[#This Row],['[Valores_cenario']]],0)</f>
        <v>25637.13</v>
      </c>
      <c r="O351" s="6">
        <f>IF(Tabela5[[#This Row],[Dim_Cenario'[Nome Cenario']]]=Tabela5[[#Headers],[Revisado]],Tabela5[[#This Row],['[Valores_cenario']]],0)</f>
        <v>0</v>
      </c>
      <c r="P351" s="6">
        <f>IF(Tabela5[[#This Row],[Dim_Cenario'[Nome Cenario']]]=Tabela5[[#Headers],[Realizado]],Tabela5[[#This Row],['[Valores_cenario']]],0)</f>
        <v>0</v>
      </c>
    </row>
    <row r="352" hidden="1" spans="1:16">
      <c r="A352" t="s">
        <v>17</v>
      </c>
      <c r="B352" t="s">
        <v>18</v>
      </c>
      <c r="C352" t="s">
        <v>37</v>
      </c>
      <c r="D352" t="s">
        <v>20</v>
      </c>
      <c r="E352">
        <v>2022</v>
      </c>
      <c r="F352" t="s">
        <v>21</v>
      </c>
      <c r="G352" t="s">
        <v>24</v>
      </c>
      <c r="H352">
        <v>11</v>
      </c>
      <c r="I352">
        <v>25637.13</v>
      </c>
      <c r="J352" t="s">
        <v>23</v>
      </c>
      <c r="K352" s="3"/>
      <c r="N352" s="6">
        <f>IF(Tabela5[[#This Row],[Dim_Cenario'[Nome Cenario']]]=Tabela5[[#Headers],[INIC Atual]],Tabela5[[#This Row],['[Valores_cenario']]],0)</f>
        <v>25637.13</v>
      </c>
      <c r="O352" s="6">
        <f>IF(Tabela5[[#This Row],[Dim_Cenario'[Nome Cenario']]]=Tabela5[[#Headers],[Revisado]],Tabela5[[#This Row],['[Valores_cenario']]],0)</f>
        <v>0</v>
      </c>
      <c r="P352" s="6">
        <f>IF(Tabela5[[#This Row],[Dim_Cenario'[Nome Cenario']]]=Tabela5[[#Headers],[Realizado]],Tabela5[[#This Row],['[Valores_cenario']]],0)</f>
        <v>0</v>
      </c>
    </row>
    <row r="353" hidden="1" spans="1:16">
      <c r="A353" t="s">
        <v>17</v>
      </c>
      <c r="B353" t="s">
        <v>18</v>
      </c>
      <c r="C353" t="s">
        <v>37</v>
      </c>
      <c r="D353" t="s">
        <v>20</v>
      </c>
      <c r="E353">
        <v>2022</v>
      </c>
      <c r="F353" t="s">
        <v>21</v>
      </c>
      <c r="G353" t="s">
        <v>32</v>
      </c>
      <c r="H353">
        <v>12</v>
      </c>
      <c r="I353">
        <v>25637.13</v>
      </c>
      <c r="J353" t="s">
        <v>23</v>
      </c>
      <c r="K353" s="3"/>
      <c r="N353" s="6">
        <f>IF(Tabela5[[#This Row],[Dim_Cenario'[Nome Cenario']]]=Tabela5[[#Headers],[INIC Atual]],Tabela5[[#This Row],['[Valores_cenario']]],0)</f>
        <v>25637.13</v>
      </c>
      <c r="O353" s="6">
        <f>IF(Tabela5[[#This Row],[Dim_Cenario'[Nome Cenario']]]=Tabela5[[#Headers],[Revisado]],Tabela5[[#This Row],['[Valores_cenario']]],0)</f>
        <v>0</v>
      </c>
      <c r="P353" s="6">
        <f>IF(Tabela5[[#This Row],[Dim_Cenario'[Nome Cenario']]]=Tabela5[[#Headers],[Realizado]],Tabela5[[#This Row],['[Valores_cenario']]],0)</f>
        <v>0</v>
      </c>
    </row>
    <row r="354" hidden="1" spans="1:16">
      <c r="A354" t="s">
        <v>17</v>
      </c>
      <c r="B354" t="s">
        <v>18</v>
      </c>
      <c r="C354" t="s">
        <v>37</v>
      </c>
      <c r="D354" t="s">
        <v>14</v>
      </c>
      <c r="E354">
        <v>2022</v>
      </c>
      <c r="F354" t="s">
        <v>25</v>
      </c>
      <c r="G354" t="s">
        <v>35</v>
      </c>
      <c r="H354">
        <v>1</v>
      </c>
      <c r="I354">
        <v>7367.13</v>
      </c>
      <c r="J354" t="s">
        <v>23</v>
      </c>
      <c r="K354" s="3"/>
      <c r="N354" s="6">
        <f>IF(Tabela5[[#This Row],[Dim_Cenario'[Nome Cenario']]]=Tabela5[[#Headers],[INIC Atual]],Tabela5[[#This Row],['[Valores_cenario']]],0)</f>
        <v>0</v>
      </c>
      <c r="O354" s="6">
        <f>IF(Tabela5[[#This Row],[Dim_Cenario'[Nome Cenario']]]=Tabela5[[#Headers],[Revisado]],Tabela5[[#This Row],['[Valores_cenario']]],0)</f>
        <v>7367.13</v>
      </c>
      <c r="P354" s="6">
        <f>IF(Tabela5[[#This Row],[Dim_Cenario'[Nome Cenario']]]=Tabela5[[#Headers],[Realizado]],Tabela5[[#This Row],['[Valores_cenario']]],0)</f>
        <v>0</v>
      </c>
    </row>
    <row r="355" hidden="1" spans="1:16">
      <c r="A355" t="s">
        <v>97</v>
      </c>
      <c r="B355" t="s">
        <v>18</v>
      </c>
      <c r="C355" t="s">
        <v>98</v>
      </c>
      <c r="D355" t="s">
        <v>20</v>
      </c>
      <c r="E355">
        <v>2019</v>
      </c>
      <c r="F355" t="s">
        <v>25</v>
      </c>
      <c r="G355" t="s">
        <v>35</v>
      </c>
      <c r="H355">
        <v>1</v>
      </c>
      <c r="I355">
        <v>31500</v>
      </c>
      <c r="J355" t="s">
        <v>36</v>
      </c>
      <c r="K355" s="3"/>
      <c r="N355" s="6">
        <f>IF(Tabela5[[#This Row],[Dim_Cenario'[Nome Cenario']]]=Tabela5[[#Headers],[INIC Atual]],Tabela5[[#This Row],['[Valores_cenario']]],0)</f>
        <v>31500</v>
      </c>
      <c r="O355" s="6">
        <f>IF(Tabela5[[#This Row],[Dim_Cenario'[Nome Cenario']]]=Tabela5[[#Headers],[Revisado]],Tabela5[[#This Row],['[Valores_cenario']]],0)</f>
        <v>0</v>
      </c>
      <c r="P355" s="6">
        <f>IF(Tabela5[[#This Row],[Dim_Cenario'[Nome Cenario']]]=Tabela5[[#Headers],[Realizado]],Tabela5[[#This Row],['[Valores_cenario']]],0)</f>
        <v>0</v>
      </c>
    </row>
    <row r="356" hidden="1" spans="1:16">
      <c r="A356" t="s">
        <v>97</v>
      </c>
      <c r="B356" t="s">
        <v>18</v>
      </c>
      <c r="C356" t="s">
        <v>98</v>
      </c>
      <c r="D356" t="s">
        <v>20</v>
      </c>
      <c r="E356">
        <v>2019</v>
      </c>
      <c r="F356" t="s">
        <v>25</v>
      </c>
      <c r="G356" t="s">
        <v>26</v>
      </c>
      <c r="H356">
        <v>2</v>
      </c>
      <c r="I356">
        <v>24000</v>
      </c>
      <c r="J356" t="s">
        <v>36</v>
      </c>
      <c r="K356" s="3"/>
      <c r="N356" s="6">
        <f>IF(Tabela5[[#This Row],[Dim_Cenario'[Nome Cenario']]]=Tabela5[[#Headers],[INIC Atual]],Tabela5[[#This Row],['[Valores_cenario']]],0)</f>
        <v>24000</v>
      </c>
      <c r="O356" s="6">
        <f>IF(Tabela5[[#This Row],[Dim_Cenario'[Nome Cenario']]]=Tabela5[[#Headers],[Revisado]],Tabela5[[#This Row],['[Valores_cenario']]],0)</f>
        <v>0</v>
      </c>
      <c r="P356" s="6">
        <f>IF(Tabela5[[#This Row],[Dim_Cenario'[Nome Cenario']]]=Tabela5[[#Headers],[Realizado]],Tabela5[[#This Row],['[Valores_cenario']]],0)</f>
        <v>0</v>
      </c>
    </row>
    <row r="357" hidden="1" spans="1:16">
      <c r="A357" t="s">
        <v>97</v>
      </c>
      <c r="B357" t="s">
        <v>18</v>
      </c>
      <c r="C357" t="s">
        <v>98</v>
      </c>
      <c r="D357" t="s">
        <v>20</v>
      </c>
      <c r="E357">
        <v>2019</v>
      </c>
      <c r="F357" t="s">
        <v>25</v>
      </c>
      <c r="G357" t="s">
        <v>38</v>
      </c>
      <c r="H357">
        <v>3</v>
      </c>
      <c r="I357">
        <v>43980</v>
      </c>
      <c r="J357" t="s">
        <v>36</v>
      </c>
      <c r="K357" s="3"/>
      <c r="N357" s="6">
        <f>IF(Tabela5[[#This Row],[Dim_Cenario'[Nome Cenario']]]=Tabela5[[#Headers],[INIC Atual]],Tabela5[[#This Row],['[Valores_cenario']]],0)</f>
        <v>43980</v>
      </c>
      <c r="O357" s="6">
        <f>IF(Tabela5[[#This Row],[Dim_Cenario'[Nome Cenario']]]=Tabela5[[#Headers],[Revisado]],Tabela5[[#This Row],['[Valores_cenario']]],0)</f>
        <v>0</v>
      </c>
      <c r="P357" s="6">
        <f>IF(Tabela5[[#This Row],[Dim_Cenario'[Nome Cenario']]]=Tabela5[[#Headers],[Realizado]],Tabela5[[#This Row],['[Valores_cenario']]],0)</f>
        <v>0</v>
      </c>
    </row>
    <row r="358" hidden="1" spans="1:16">
      <c r="A358" t="s">
        <v>97</v>
      </c>
      <c r="B358" t="s">
        <v>18</v>
      </c>
      <c r="C358" t="s">
        <v>98</v>
      </c>
      <c r="D358" t="s">
        <v>20</v>
      </c>
      <c r="E358">
        <v>2019</v>
      </c>
      <c r="F358" t="s">
        <v>27</v>
      </c>
      <c r="G358" t="s">
        <v>28</v>
      </c>
      <c r="H358">
        <v>4</v>
      </c>
      <c r="I358">
        <v>40380</v>
      </c>
      <c r="J358" t="s">
        <v>36</v>
      </c>
      <c r="K358" s="3"/>
      <c r="N358" s="6">
        <f>IF(Tabela5[[#This Row],[Dim_Cenario'[Nome Cenario']]]=Tabela5[[#Headers],[INIC Atual]],Tabela5[[#This Row],['[Valores_cenario']]],0)</f>
        <v>40380</v>
      </c>
      <c r="O358" s="6">
        <f>IF(Tabela5[[#This Row],[Dim_Cenario'[Nome Cenario']]]=Tabela5[[#Headers],[Revisado]],Tabela5[[#This Row],['[Valores_cenario']]],0)</f>
        <v>0</v>
      </c>
      <c r="P358" s="6">
        <f>IF(Tabela5[[#This Row],[Dim_Cenario'[Nome Cenario']]]=Tabela5[[#Headers],[Realizado]],Tabela5[[#This Row],['[Valores_cenario']]],0)</f>
        <v>0</v>
      </c>
    </row>
    <row r="359" hidden="1" spans="1:16">
      <c r="A359" t="s">
        <v>97</v>
      </c>
      <c r="B359" t="s">
        <v>18</v>
      </c>
      <c r="C359" t="s">
        <v>98</v>
      </c>
      <c r="D359" t="s">
        <v>20</v>
      </c>
      <c r="E359">
        <v>2019</v>
      </c>
      <c r="F359" t="s">
        <v>27</v>
      </c>
      <c r="G359" t="s">
        <v>39</v>
      </c>
      <c r="H359">
        <v>5</v>
      </c>
      <c r="I359">
        <v>40380</v>
      </c>
      <c r="J359" t="s">
        <v>36</v>
      </c>
      <c r="K359" s="3"/>
      <c r="N359" s="6">
        <f>IF(Tabela5[[#This Row],[Dim_Cenario'[Nome Cenario']]]=Tabela5[[#Headers],[INIC Atual]],Tabela5[[#This Row],['[Valores_cenario']]],0)</f>
        <v>40380</v>
      </c>
      <c r="O359" s="6">
        <f>IF(Tabela5[[#This Row],[Dim_Cenario'[Nome Cenario']]]=Tabela5[[#Headers],[Revisado]],Tabela5[[#This Row],['[Valores_cenario']]],0)</f>
        <v>0</v>
      </c>
      <c r="P359" s="6">
        <f>IF(Tabela5[[#This Row],[Dim_Cenario'[Nome Cenario']]]=Tabela5[[#Headers],[Realizado]],Tabela5[[#This Row],['[Valores_cenario']]],0)</f>
        <v>0</v>
      </c>
    </row>
    <row r="360" hidden="1" spans="1:16">
      <c r="A360" t="s">
        <v>97</v>
      </c>
      <c r="B360" t="s">
        <v>18</v>
      </c>
      <c r="C360" t="s">
        <v>98</v>
      </c>
      <c r="D360" t="s">
        <v>20</v>
      </c>
      <c r="E360">
        <v>2019</v>
      </c>
      <c r="F360" t="s">
        <v>27</v>
      </c>
      <c r="G360" t="s">
        <v>29</v>
      </c>
      <c r="H360">
        <v>6</v>
      </c>
      <c r="I360">
        <v>34920</v>
      </c>
      <c r="J360" t="s">
        <v>36</v>
      </c>
      <c r="K360" s="3"/>
      <c r="N360" s="6">
        <f>IF(Tabela5[[#This Row],[Dim_Cenario'[Nome Cenario']]]=Tabela5[[#Headers],[INIC Atual]],Tabela5[[#This Row],['[Valores_cenario']]],0)</f>
        <v>34920</v>
      </c>
      <c r="O360" s="6">
        <f>IF(Tabela5[[#This Row],[Dim_Cenario'[Nome Cenario']]]=Tabela5[[#Headers],[Revisado]],Tabela5[[#This Row],['[Valores_cenario']]],0)</f>
        <v>0</v>
      </c>
      <c r="P360" s="6">
        <f>IF(Tabela5[[#This Row],[Dim_Cenario'[Nome Cenario']]]=Tabela5[[#Headers],[Realizado]],Tabela5[[#This Row],['[Valores_cenario']]],0)</f>
        <v>0</v>
      </c>
    </row>
    <row r="361" hidden="1" spans="1:16">
      <c r="A361" t="s">
        <v>97</v>
      </c>
      <c r="B361" t="s">
        <v>18</v>
      </c>
      <c r="C361" t="s">
        <v>98</v>
      </c>
      <c r="D361" t="s">
        <v>20</v>
      </c>
      <c r="E361">
        <v>2019</v>
      </c>
      <c r="F361" t="s">
        <v>30</v>
      </c>
      <c r="G361" t="s">
        <v>40</v>
      </c>
      <c r="H361">
        <v>7</v>
      </c>
      <c r="I361">
        <v>31500</v>
      </c>
      <c r="J361" t="s">
        <v>36</v>
      </c>
      <c r="K361" s="3"/>
      <c r="N361" s="6">
        <f>IF(Tabela5[[#This Row],[Dim_Cenario'[Nome Cenario']]]=Tabela5[[#Headers],[INIC Atual]],Tabela5[[#This Row],['[Valores_cenario']]],0)</f>
        <v>31500</v>
      </c>
      <c r="O361" s="6">
        <f>IF(Tabela5[[#This Row],[Dim_Cenario'[Nome Cenario']]]=Tabela5[[#Headers],[Revisado]],Tabela5[[#This Row],['[Valores_cenario']]],0)</f>
        <v>0</v>
      </c>
      <c r="P361" s="6">
        <f>IF(Tabela5[[#This Row],[Dim_Cenario'[Nome Cenario']]]=Tabela5[[#Headers],[Realizado]],Tabela5[[#This Row],['[Valores_cenario']]],0)</f>
        <v>0</v>
      </c>
    </row>
    <row r="362" hidden="1" spans="1:16">
      <c r="A362" t="s">
        <v>97</v>
      </c>
      <c r="B362" t="s">
        <v>18</v>
      </c>
      <c r="C362" t="s">
        <v>98</v>
      </c>
      <c r="D362" t="s">
        <v>20</v>
      </c>
      <c r="E362">
        <v>2019</v>
      </c>
      <c r="F362" t="s">
        <v>30</v>
      </c>
      <c r="G362" t="s">
        <v>31</v>
      </c>
      <c r="H362">
        <v>8</v>
      </c>
      <c r="I362">
        <v>40380</v>
      </c>
      <c r="J362" t="s">
        <v>36</v>
      </c>
      <c r="K362" s="3"/>
      <c r="N362" s="6">
        <f>IF(Tabela5[[#This Row],[Dim_Cenario'[Nome Cenario']]]=Tabela5[[#Headers],[INIC Atual]],Tabela5[[#This Row],['[Valores_cenario']]],0)</f>
        <v>40380</v>
      </c>
      <c r="O362" s="6">
        <f>IF(Tabela5[[#This Row],[Dim_Cenario'[Nome Cenario']]]=Tabela5[[#Headers],[Revisado]],Tabela5[[#This Row],['[Valores_cenario']]],0)</f>
        <v>0</v>
      </c>
      <c r="P362" s="6">
        <f>IF(Tabela5[[#This Row],[Dim_Cenario'[Nome Cenario']]]=Tabela5[[#Headers],[Realizado]],Tabela5[[#This Row],['[Valores_cenario']]],0)</f>
        <v>0</v>
      </c>
    </row>
    <row r="363" hidden="1" spans="1:16">
      <c r="A363" t="s">
        <v>97</v>
      </c>
      <c r="B363" t="s">
        <v>18</v>
      </c>
      <c r="C363" t="s">
        <v>98</v>
      </c>
      <c r="D363" t="s">
        <v>20</v>
      </c>
      <c r="E363">
        <v>2019</v>
      </c>
      <c r="F363" t="s">
        <v>30</v>
      </c>
      <c r="G363" t="s">
        <v>41</v>
      </c>
      <c r="H363">
        <v>9</v>
      </c>
      <c r="I363">
        <v>34920</v>
      </c>
      <c r="J363" t="s">
        <v>36</v>
      </c>
      <c r="K363" s="3"/>
      <c r="N363" s="6">
        <f>IF(Tabela5[[#This Row],[Dim_Cenario'[Nome Cenario']]]=Tabela5[[#Headers],[INIC Atual]],Tabela5[[#This Row],['[Valores_cenario']]],0)</f>
        <v>34920</v>
      </c>
      <c r="O363" s="6">
        <f>IF(Tabela5[[#This Row],[Dim_Cenario'[Nome Cenario']]]=Tabela5[[#Headers],[Revisado]],Tabela5[[#This Row],['[Valores_cenario']]],0)</f>
        <v>0</v>
      </c>
      <c r="P363" s="6">
        <f>IF(Tabela5[[#This Row],[Dim_Cenario'[Nome Cenario']]]=Tabela5[[#Headers],[Realizado]],Tabela5[[#This Row],['[Valores_cenario']]],0)</f>
        <v>0</v>
      </c>
    </row>
    <row r="364" hidden="1" spans="1:16">
      <c r="A364" t="s">
        <v>97</v>
      </c>
      <c r="B364" t="s">
        <v>18</v>
      </c>
      <c r="C364" t="s">
        <v>98</v>
      </c>
      <c r="D364" t="s">
        <v>20</v>
      </c>
      <c r="E364">
        <v>2019</v>
      </c>
      <c r="F364" t="s">
        <v>21</v>
      </c>
      <c r="G364" t="s">
        <v>22</v>
      </c>
      <c r="H364">
        <v>10</v>
      </c>
      <c r="I364">
        <v>29460</v>
      </c>
      <c r="J364" t="s">
        <v>36</v>
      </c>
      <c r="K364" s="3"/>
      <c r="N364" s="6">
        <f>IF(Tabela5[[#This Row],[Dim_Cenario'[Nome Cenario']]]=Tabela5[[#Headers],[INIC Atual]],Tabela5[[#This Row],['[Valores_cenario']]],0)</f>
        <v>29460</v>
      </c>
      <c r="O364" s="6">
        <f>IF(Tabela5[[#This Row],[Dim_Cenario'[Nome Cenario']]]=Tabela5[[#Headers],[Revisado]],Tabela5[[#This Row],['[Valores_cenario']]],0)</f>
        <v>0</v>
      </c>
      <c r="P364" s="6">
        <f>IF(Tabela5[[#This Row],[Dim_Cenario'[Nome Cenario']]]=Tabela5[[#Headers],[Realizado]],Tabela5[[#This Row],['[Valores_cenario']]],0)</f>
        <v>0</v>
      </c>
    </row>
    <row r="365" hidden="1" spans="1:16">
      <c r="A365" t="s">
        <v>97</v>
      </c>
      <c r="B365" t="s">
        <v>18</v>
      </c>
      <c r="C365" t="s">
        <v>98</v>
      </c>
      <c r="D365" t="s">
        <v>20</v>
      </c>
      <c r="E365">
        <v>2019</v>
      </c>
      <c r="F365" t="s">
        <v>21</v>
      </c>
      <c r="G365" t="s">
        <v>24</v>
      </c>
      <c r="H365">
        <v>11</v>
      </c>
      <c r="I365">
        <v>34920</v>
      </c>
      <c r="J365" t="s">
        <v>36</v>
      </c>
      <c r="K365" s="3"/>
      <c r="N365" s="6">
        <f>IF(Tabela5[[#This Row],[Dim_Cenario'[Nome Cenario']]]=Tabela5[[#Headers],[INIC Atual]],Tabela5[[#This Row],['[Valores_cenario']]],0)</f>
        <v>34920</v>
      </c>
      <c r="O365" s="6">
        <f>IF(Tabela5[[#This Row],[Dim_Cenario'[Nome Cenario']]]=Tabela5[[#Headers],[Revisado]],Tabela5[[#This Row],['[Valores_cenario']]],0)</f>
        <v>0</v>
      </c>
      <c r="P365" s="6">
        <f>IF(Tabela5[[#This Row],[Dim_Cenario'[Nome Cenario']]]=Tabela5[[#Headers],[Realizado]],Tabela5[[#This Row],['[Valores_cenario']]],0)</f>
        <v>0</v>
      </c>
    </row>
    <row r="366" hidden="1" spans="1:16">
      <c r="A366" t="s">
        <v>97</v>
      </c>
      <c r="B366" t="s">
        <v>18</v>
      </c>
      <c r="C366" t="s">
        <v>98</v>
      </c>
      <c r="D366" t="s">
        <v>20</v>
      </c>
      <c r="E366">
        <v>2019</v>
      </c>
      <c r="F366" t="s">
        <v>21</v>
      </c>
      <c r="G366" t="s">
        <v>32</v>
      </c>
      <c r="H366">
        <v>12</v>
      </c>
      <c r="I366">
        <v>34920</v>
      </c>
      <c r="J366" t="s">
        <v>36</v>
      </c>
      <c r="K366" s="3"/>
      <c r="N366" s="6">
        <f>IF(Tabela5[[#This Row],[Dim_Cenario'[Nome Cenario']]]=Tabela5[[#Headers],[INIC Atual]],Tabela5[[#This Row],['[Valores_cenario']]],0)</f>
        <v>34920</v>
      </c>
      <c r="O366" s="6">
        <f>IF(Tabela5[[#This Row],[Dim_Cenario'[Nome Cenario']]]=Tabela5[[#Headers],[Revisado]],Tabela5[[#This Row],['[Valores_cenario']]],0)</f>
        <v>0</v>
      </c>
      <c r="P366" s="6">
        <f>IF(Tabela5[[#This Row],[Dim_Cenario'[Nome Cenario']]]=Tabela5[[#Headers],[Realizado]],Tabela5[[#This Row],['[Valores_cenario']]],0)</f>
        <v>0</v>
      </c>
    </row>
    <row r="367" hidden="1" spans="1:16">
      <c r="A367" t="s">
        <v>97</v>
      </c>
      <c r="B367" t="s">
        <v>18</v>
      </c>
      <c r="C367" t="s">
        <v>98</v>
      </c>
      <c r="D367" t="s">
        <v>20</v>
      </c>
      <c r="E367">
        <v>2020</v>
      </c>
      <c r="F367" t="s">
        <v>25</v>
      </c>
      <c r="G367" t="s">
        <v>38</v>
      </c>
      <c r="H367">
        <v>3</v>
      </c>
      <c r="I367">
        <v>5934.53</v>
      </c>
      <c r="J367" t="s">
        <v>36</v>
      </c>
      <c r="K367" s="3"/>
      <c r="N367" s="6">
        <f>IF(Tabela5[[#This Row],[Dim_Cenario'[Nome Cenario']]]=Tabela5[[#Headers],[INIC Atual]],Tabela5[[#This Row],['[Valores_cenario']]],0)</f>
        <v>5934.53</v>
      </c>
      <c r="O367" s="6">
        <f>IF(Tabela5[[#This Row],[Dim_Cenario'[Nome Cenario']]]=Tabela5[[#Headers],[Revisado]],Tabela5[[#This Row],['[Valores_cenario']]],0)</f>
        <v>0</v>
      </c>
      <c r="P367" s="6">
        <f>IF(Tabela5[[#This Row],[Dim_Cenario'[Nome Cenario']]]=Tabela5[[#Headers],[Realizado]],Tabela5[[#This Row],['[Valores_cenario']]],0)</f>
        <v>0</v>
      </c>
    </row>
    <row r="368" hidden="1" spans="1:16">
      <c r="A368" t="s">
        <v>97</v>
      </c>
      <c r="B368" t="s">
        <v>18</v>
      </c>
      <c r="C368" t="s">
        <v>98</v>
      </c>
      <c r="D368" t="s">
        <v>20</v>
      </c>
      <c r="E368">
        <v>2020</v>
      </c>
      <c r="F368" t="s">
        <v>27</v>
      </c>
      <c r="G368" t="s">
        <v>28</v>
      </c>
      <c r="H368">
        <v>4</v>
      </c>
      <c r="I368">
        <v>11869.06</v>
      </c>
      <c r="J368" t="s">
        <v>36</v>
      </c>
      <c r="K368" s="3"/>
      <c r="N368" s="6">
        <f>IF(Tabela5[[#This Row],[Dim_Cenario'[Nome Cenario']]]=Tabela5[[#Headers],[INIC Atual]],Tabela5[[#This Row],['[Valores_cenario']]],0)</f>
        <v>11869.06</v>
      </c>
      <c r="O368" s="6">
        <f>IF(Tabela5[[#This Row],[Dim_Cenario'[Nome Cenario']]]=Tabela5[[#Headers],[Revisado]],Tabela5[[#This Row],['[Valores_cenario']]],0)</f>
        <v>0</v>
      </c>
      <c r="P368" s="6">
        <f>IF(Tabela5[[#This Row],[Dim_Cenario'[Nome Cenario']]]=Tabela5[[#Headers],[Realizado]],Tabela5[[#This Row],['[Valores_cenario']]],0)</f>
        <v>0</v>
      </c>
    </row>
    <row r="369" hidden="1" spans="1:16">
      <c r="A369" t="s">
        <v>97</v>
      </c>
      <c r="B369" t="s">
        <v>18</v>
      </c>
      <c r="C369" t="s">
        <v>98</v>
      </c>
      <c r="D369" t="s">
        <v>20</v>
      </c>
      <c r="E369">
        <v>2020</v>
      </c>
      <c r="F369" t="s">
        <v>27</v>
      </c>
      <c r="G369" t="s">
        <v>39</v>
      </c>
      <c r="H369">
        <v>5</v>
      </c>
      <c r="I369">
        <v>5934.53</v>
      </c>
      <c r="J369" t="s">
        <v>36</v>
      </c>
      <c r="K369" s="3"/>
      <c r="N369" s="6">
        <f>IF(Tabela5[[#This Row],[Dim_Cenario'[Nome Cenario']]]=Tabela5[[#Headers],[INIC Atual]],Tabela5[[#This Row],['[Valores_cenario']]],0)</f>
        <v>5934.53</v>
      </c>
      <c r="O369" s="6">
        <f>IF(Tabela5[[#This Row],[Dim_Cenario'[Nome Cenario']]]=Tabela5[[#Headers],[Revisado]],Tabela5[[#This Row],['[Valores_cenario']]],0)</f>
        <v>0</v>
      </c>
      <c r="P369" s="6">
        <f>IF(Tabela5[[#This Row],[Dim_Cenario'[Nome Cenario']]]=Tabela5[[#Headers],[Realizado]],Tabela5[[#This Row],['[Valores_cenario']]],0)</f>
        <v>0</v>
      </c>
    </row>
    <row r="370" hidden="1" spans="1:16">
      <c r="A370" t="s">
        <v>97</v>
      </c>
      <c r="B370" t="s">
        <v>18</v>
      </c>
      <c r="C370" t="s">
        <v>98</v>
      </c>
      <c r="D370" t="s">
        <v>20</v>
      </c>
      <c r="E370">
        <v>2020</v>
      </c>
      <c r="F370" t="s">
        <v>27</v>
      </c>
      <c r="G370" t="s">
        <v>29</v>
      </c>
      <c r="H370">
        <v>6</v>
      </c>
      <c r="I370">
        <v>47476.24</v>
      </c>
      <c r="J370" t="s">
        <v>36</v>
      </c>
      <c r="K370" s="3"/>
      <c r="N370" s="6">
        <f>IF(Tabela5[[#This Row],[Dim_Cenario'[Nome Cenario']]]=Tabela5[[#Headers],[INIC Atual]],Tabela5[[#This Row],['[Valores_cenario']]],0)</f>
        <v>47476.24</v>
      </c>
      <c r="O370" s="6">
        <f>IF(Tabela5[[#This Row],[Dim_Cenario'[Nome Cenario']]]=Tabela5[[#Headers],[Revisado]],Tabela5[[#This Row],['[Valores_cenario']]],0)</f>
        <v>0</v>
      </c>
      <c r="P370" s="6">
        <f>IF(Tabela5[[#This Row],[Dim_Cenario'[Nome Cenario']]]=Tabela5[[#Headers],[Realizado]],Tabela5[[#This Row],['[Valores_cenario']]],0)</f>
        <v>0</v>
      </c>
    </row>
    <row r="371" hidden="1" spans="1:16">
      <c r="A371" t="s">
        <v>97</v>
      </c>
      <c r="B371" t="s">
        <v>18</v>
      </c>
      <c r="C371" t="s">
        <v>98</v>
      </c>
      <c r="D371" t="s">
        <v>20</v>
      </c>
      <c r="E371">
        <v>2020</v>
      </c>
      <c r="F371" t="s">
        <v>30</v>
      </c>
      <c r="G371" t="s">
        <v>31</v>
      </c>
      <c r="H371">
        <v>8</v>
      </c>
      <c r="I371">
        <v>5934.53</v>
      </c>
      <c r="J371" t="s">
        <v>36</v>
      </c>
      <c r="K371" s="3"/>
      <c r="N371" s="6">
        <f>IF(Tabela5[[#This Row],[Dim_Cenario'[Nome Cenario']]]=Tabela5[[#Headers],[INIC Atual]],Tabela5[[#This Row],['[Valores_cenario']]],0)</f>
        <v>5934.53</v>
      </c>
      <c r="O371" s="6">
        <f>IF(Tabela5[[#This Row],[Dim_Cenario'[Nome Cenario']]]=Tabela5[[#Headers],[Revisado]],Tabela5[[#This Row],['[Valores_cenario']]],0)</f>
        <v>0</v>
      </c>
      <c r="P371" s="6">
        <f>IF(Tabela5[[#This Row],[Dim_Cenario'[Nome Cenario']]]=Tabela5[[#Headers],[Realizado]],Tabela5[[#This Row],['[Valores_cenario']]],0)</f>
        <v>0</v>
      </c>
    </row>
    <row r="372" hidden="1" spans="1:16">
      <c r="A372" t="s">
        <v>97</v>
      </c>
      <c r="B372" t="s">
        <v>18</v>
      </c>
      <c r="C372" t="s">
        <v>98</v>
      </c>
      <c r="D372" t="s">
        <v>20</v>
      </c>
      <c r="E372">
        <v>2020</v>
      </c>
      <c r="F372" t="s">
        <v>30</v>
      </c>
      <c r="G372" t="s">
        <v>41</v>
      </c>
      <c r="H372">
        <v>9</v>
      </c>
      <c r="I372">
        <v>11869.06</v>
      </c>
      <c r="J372" t="s">
        <v>36</v>
      </c>
      <c r="K372" s="3"/>
      <c r="N372" s="6">
        <f>IF(Tabela5[[#This Row],[Dim_Cenario'[Nome Cenario']]]=Tabela5[[#Headers],[INIC Atual]],Tabela5[[#This Row],['[Valores_cenario']]],0)</f>
        <v>11869.06</v>
      </c>
      <c r="O372" s="6">
        <f>IF(Tabela5[[#This Row],[Dim_Cenario'[Nome Cenario']]]=Tabela5[[#Headers],[Revisado]],Tabela5[[#This Row],['[Valores_cenario']]],0)</f>
        <v>0</v>
      </c>
      <c r="P372" s="6">
        <f>IF(Tabela5[[#This Row],[Dim_Cenario'[Nome Cenario']]]=Tabela5[[#Headers],[Realizado]],Tabela5[[#This Row],['[Valores_cenario']]],0)</f>
        <v>0</v>
      </c>
    </row>
    <row r="373" hidden="1" spans="1:16">
      <c r="A373" t="s">
        <v>97</v>
      </c>
      <c r="B373" t="s">
        <v>18</v>
      </c>
      <c r="C373" t="s">
        <v>98</v>
      </c>
      <c r="D373" t="s">
        <v>20</v>
      </c>
      <c r="E373">
        <v>2020</v>
      </c>
      <c r="F373" t="s">
        <v>21</v>
      </c>
      <c r="G373" t="s">
        <v>22</v>
      </c>
      <c r="H373">
        <v>10</v>
      </c>
      <c r="I373">
        <v>5934.53</v>
      </c>
      <c r="J373" t="s">
        <v>36</v>
      </c>
      <c r="K373" s="3"/>
      <c r="N373" s="6">
        <f>IF(Tabela5[[#This Row],[Dim_Cenario'[Nome Cenario']]]=Tabela5[[#Headers],[INIC Atual]],Tabela5[[#This Row],['[Valores_cenario']]],0)</f>
        <v>5934.53</v>
      </c>
      <c r="O373" s="6">
        <f>IF(Tabela5[[#This Row],[Dim_Cenario'[Nome Cenario']]]=Tabela5[[#Headers],[Revisado]],Tabela5[[#This Row],['[Valores_cenario']]],0)</f>
        <v>0</v>
      </c>
      <c r="P373" s="6">
        <f>IF(Tabela5[[#This Row],[Dim_Cenario'[Nome Cenario']]]=Tabela5[[#Headers],[Realizado]],Tabela5[[#This Row],['[Valores_cenario']]],0)</f>
        <v>0</v>
      </c>
    </row>
    <row r="374" hidden="1" spans="1:16">
      <c r="A374" t="s">
        <v>97</v>
      </c>
      <c r="B374" t="s">
        <v>18</v>
      </c>
      <c r="C374" t="s">
        <v>98</v>
      </c>
      <c r="D374" t="s">
        <v>20</v>
      </c>
      <c r="E374">
        <v>2020</v>
      </c>
      <c r="F374" t="s">
        <v>21</v>
      </c>
      <c r="G374" t="s">
        <v>24</v>
      </c>
      <c r="H374">
        <v>11</v>
      </c>
      <c r="I374">
        <v>47476.24</v>
      </c>
      <c r="J374" t="s">
        <v>36</v>
      </c>
      <c r="K374" s="3"/>
      <c r="N374" s="6">
        <f>IF(Tabela5[[#This Row],[Dim_Cenario'[Nome Cenario']]]=Tabela5[[#Headers],[INIC Atual]],Tabela5[[#This Row],['[Valores_cenario']]],0)</f>
        <v>47476.24</v>
      </c>
      <c r="O374" s="6">
        <f>IF(Tabela5[[#This Row],[Dim_Cenario'[Nome Cenario']]]=Tabela5[[#Headers],[Revisado]],Tabela5[[#This Row],['[Valores_cenario']]],0)</f>
        <v>0</v>
      </c>
      <c r="P374" s="6">
        <f>IF(Tabela5[[#This Row],[Dim_Cenario'[Nome Cenario']]]=Tabela5[[#Headers],[Realizado]],Tabela5[[#This Row],['[Valores_cenario']]],0)</f>
        <v>0</v>
      </c>
    </row>
    <row r="375" hidden="1" spans="1:16">
      <c r="A375" t="s">
        <v>97</v>
      </c>
      <c r="B375" t="s">
        <v>18</v>
      </c>
      <c r="C375" t="s">
        <v>98</v>
      </c>
      <c r="D375" t="s">
        <v>20</v>
      </c>
      <c r="E375">
        <v>2021</v>
      </c>
      <c r="F375" t="s">
        <v>25</v>
      </c>
      <c r="G375" t="s">
        <v>38</v>
      </c>
      <c r="H375">
        <v>3</v>
      </c>
      <c r="I375">
        <v>9694.92</v>
      </c>
      <c r="J375" t="s">
        <v>36</v>
      </c>
      <c r="K375" s="3"/>
      <c r="N375" s="6">
        <f>IF(Tabela5[[#This Row],[Dim_Cenario'[Nome Cenario']]]=Tabela5[[#Headers],[INIC Atual]],Tabela5[[#This Row],['[Valores_cenario']]],0)</f>
        <v>9694.92</v>
      </c>
      <c r="O375" s="6">
        <f>IF(Tabela5[[#This Row],[Dim_Cenario'[Nome Cenario']]]=Tabela5[[#Headers],[Revisado]],Tabela5[[#This Row],['[Valores_cenario']]],0)</f>
        <v>0</v>
      </c>
      <c r="P375" s="6">
        <f>IF(Tabela5[[#This Row],[Dim_Cenario'[Nome Cenario']]]=Tabela5[[#Headers],[Realizado]],Tabela5[[#This Row],['[Valores_cenario']]],0)</f>
        <v>0</v>
      </c>
    </row>
    <row r="376" hidden="1" spans="1:16">
      <c r="A376" t="s">
        <v>97</v>
      </c>
      <c r="B376" t="s">
        <v>18</v>
      </c>
      <c r="C376" t="s">
        <v>98</v>
      </c>
      <c r="D376" t="s">
        <v>20</v>
      </c>
      <c r="E376">
        <v>2021</v>
      </c>
      <c r="F376" t="s">
        <v>27</v>
      </c>
      <c r="G376" t="s">
        <v>28</v>
      </c>
      <c r="H376">
        <v>4</v>
      </c>
      <c r="I376">
        <v>9694.92</v>
      </c>
      <c r="J376" t="s">
        <v>36</v>
      </c>
      <c r="K376" s="3"/>
      <c r="N376" s="6">
        <f>IF(Tabela5[[#This Row],[Dim_Cenario'[Nome Cenario']]]=Tabela5[[#Headers],[INIC Atual]],Tabela5[[#This Row],['[Valores_cenario']]],0)</f>
        <v>9694.92</v>
      </c>
      <c r="O376" s="6">
        <f>IF(Tabela5[[#This Row],[Dim_Cenario'[Nome Cenario']]]=Tabela5[[#Headers],[Revisado]],Tabela5[[#This Row],['[Valores_cenario']]],0)</f>
        <v>0</v>
      </c>
      <c r="P376" s="6">
        <f>IF(Tabela5[[#This Row],[Dim_Cenario'[Nome Cenario']]]=Tabela5[[#Headers],[Realizado]],Tabela5[[#This Row],['[Valores_cenario']]],0)</f>
        <v>0</v>
      </c>
    </row>
    <row r="377" hidden="1" spans="1:16">
      <c r="A377" t="s">
        <v>97</v>
      </c>
      <c r="B377" t="s">
        <v>18</v>
      </c>
      <c r="C377" t="s">
        <v>98</v>
      </c>
      <c r="D377" t="s">
        <v>20</v>
      </c>
      <c r="E377">
        <v>2021</v>
      </c>
      <c r="F377" t="s">
        <v>27</v>
      </c>
      <c r="G377" t="s">
        <v>39</v>
      </c>
      <c r="H377">
        <v>5</v>
      </c>
      <c r="I377">
        <v>9694.92</v>
      </c>
      <c r="J377" t="s">
        <v>36</v>
      </c>
      <c r="K377" s="3"/>
      <c r="N377" s="6">
        <f>IF(Tabela5[[#This Row],[Dim_Cenario'[Nome Cenario']]]=Tabela5[[#Headers],[INIC Atual]],Tabela5[[#This Row],['[Valores_cenario']]],0)</f>
        <v>9694.92</v>
      </c>
      <c r="O377" s="6">
        <f>IF(Tabela5[[#This Row],[Dim_Cenario'[Nome Cenario']]]=Tabela5[[#Headers],[Revisado]],Tabela5[[#This Row],['[Valores_cenario']]],0)</f>
        <v>0</v>
      </c>
      <c r="P377" s="6">
        <f>IF(Tabela5[[#This Row],[Dim_Cenario'[Nome Cenario']]]=Tabela5[[#Headers],[Realizado]],Tabela5[[#This Row],['[Valores_cenario']]],0)</f>
        <v>0</v>
      </c>
    </row>
    <row r="378" hidden="1" spans="1:16">
      <c r="A378" t="s">
        <v>97</v>
      </c>
      <c r="B378" t="s">
        <v>18</v>
      </c>
      <c r="C378" t="s">
        <v>98</v>
      </c>
      <c r="D378" t="s">
        <v>20</v>
      </c>
      <c r="E378">
        <v>2021</v>
      </c>
      <c r="F378" t="s">
        <v>27</v>
      </c>
      <c r="G378" t="s">
        <v>29</v>
      </c>
      <c r="H378">
        <v>6</v>
      </c>
      <c r="I378">
        <v>9694.92</v>
      </c>
      <c r="J378" t="s">
        <v>36</v>
      </c>
      <c r="K378" s="3"/>
      <c r="N378" s="6">
        <f>IF(Tabela5[[#This Row],[Dim_Cenario'[Nome Cenario']]]=Tabela5[[#Headers],[INIC Atual]],Tabela5[[#This Row],['[Valores_cenario']]],0)</f>
        <v>9694.92</v>
      </c>
      <c r="O378" s="6">
        <f>IF(Tabela5[[#This Row],[Dim_Cenario'[Nome Cenario']]]=Tabela5[[#Headers],[Revisado]],Tabela5[[#This Row],['[Valores_cenario']]],0)</f>
        <v>0</v>
      </c>
      <c r="P378" s="6">
        <f>IF(Tabela5[[#This Row],[Dim_Cenario'[Nome Cenario']]]=Tabela5[[#Headers],[Realizado]],Tabela5[[#This Row],['[Valores_cenario']]],0)</f>
        <v>0</v>
      </c>
    </row>
    <row r="379" hidden="1" spans="1:16">
      <c r="A379" t="s">
        <v>97</v>
      </c>
      <c r="B379" t="s">
        <v>18</v>
      </c>
      <c r="C379" t="s">
        <v>98</v>
      </c>
      <c r="D379" t="s">
        <v>20</v>
      </c>
      <c r="E379">
        <v>2021</v>
      </c>
      <c r="F379" t="s">
        <v>30</v>
      </c>
      <c r="G379" t="s">
        <v>40</v>
      </c>
      <c r="H379">
        <v>7</v>
      </c>
      <c r="I379">
        <v>19389.861</v>
      </c>
      <c r="J379" t="s">
        <v>36</v>
      </c>
      <c r="K379" s="3"/>
      <c r="N379" s="6">
        <f>IF(Tabela5[[#This Row],[Dim_Cenario'[Nome Cenario']]]=Tabela5[[#Headers],[INIC Atual]],Tabela5[[#This Row],['[Valores_cenario']]],0)</f>
        <v>19389.861</v>
      </c>
      <c r="O379" s="6">
        <f>IF(Tabela5[[#This Row],[Dim_Cenario'[Nome Cenario']]]=Tabela5[[#Headers],[Revisado]],Tabela5[[#This Row],['[Valores_cenario']]],0)</f>
        <v>0</v>
      </c>
      <c r="P379" s="6">
        <f>IF(Tabela5[[#This Row],[Dim_Cenario'[Nome Cenario']]]=Tabela5[[#Headers],[Realizado]],Tabela5[[#This Row],['[Valores_cenario']]],0)</f>
        <v>0</v>
      </c>
    </row>
    <row r="380" hidden="1" spans="1:16">
      <c r="A380" t="s">
        <v>97</v>
      </c>
      <c r="B380" t="s">
        <v>18</v>
      </c>
      <c r="C380" t="s">
        <v>98</v>
      </c>
      <c r="D380" t="s">
        <v>20</v>
      </c>
      <c r="E380">
        <v>2021</v>
      </c>
      <c r="F380" t="s">
        <v>30</v>
      </c>
      <c r="G380" t="s">
        <v>31</v>
      </c>
      <c r="H380">
        <v>8</v>
      </c>
      <c r="I380">
        <v>19389.861</v>
      </c>
      <c r="J380" t="s">
        <v>36</v>
      </c>
      <c r="K380" s="3"/>
      <c r="N380" s="6">
        <f>IF(Tabela5[[#This Row],[Dim_Cenario'[Nome Cenario']]]=Tabela5[[#Headers],[INIC Atual]],Tabela5[[#This Row],['[Valores_cenario']]],0)</f>
        <v>19389.861</v>
      </c>
      <c r="O380" s="6">
        <f>IF(Tabela5[[#This Row],[Dim_Cenario'[Nome Cenario']]]=Tabela5[[#Headers],[Revisado]],Tabela5[[#This Row],['[Valores_cenario']]],0)</f>
        <v>0</v>
      </c>
      <c r="P380" s="6">
        <f>IF(Tabela5[[#This Row],[Dim_Cenario'[Nome Cenario']]]=Tabela5[[#Headers],[Realizado]],Tabela5[[#This Row],['[Valores_cenario']]],0)</f>
        <v>0</v>
      </c>
    </row>
    <row r="381" hidden="1" spans="1:16">
      <c r="A381" t="s">
        <v>97</v>
      </c>
      <c r="B381" t="s">
        <v>18</v>
      </c>
      <c r="C381" t="s">
        <v>98</v>
      </c>
      <c r="D381" t="s">
        <v>20</v>
      </c>
      <c r="E381">
        <v>2021</v>
      </c>
      <c r="F381" t="s">
        <v>30</v>
      </c>
      <c r="G381" t="s">
        <v>41</v>
      </c>
      <c r="H381">
        <v>9</v>
      </c>
      <c r="I381">
        <v>25853.137</v>
      </c>
      <c r="J381" t="s">
        <v>36</v>
      </c>
      <c r="K381" s="3"/>
      <c r="N381" s="6">
        <f>IF(Tabela5[[#This Row],[Dim_Cenario'[Nome Cenario']]]=Tabela5[[#Headers],[INIC Atual]],Tabela5[[#This Row],['[Valores_cenario']]],0)</f>
        <v>25853.137</v>
      </c>
      <c r="O381" s="6">
        <f>IF(Tabela5[[#This Row],[Dim_Cenario'[Nome Cenario']]]=Tabela5[[#Headers],[Revisado]],Tabela5[[#This Row],['[Valores_cenario']]],0)</f>
        <v>0</v>
      </c>
      <c r="P381" s="6">
        <f>IF(Tabela5[[#This Row],[Dim_Cenario'[Nome Cenario']]]=Tabela5[[#Headers],[Realizado]],Tabela5[[#This Row],['[Valores_cenario']]],0)</f>
        <v>0</v>
      </c>
    </row>
    <row r="382" hidden="1" spans="1:16">
      <c r="A382" t="s">
        <v>97</v>
      </c>
      <c r="B382" t="s">
        <v>18</v>
      </c>
      <c r="C382" t="s">
        <v>98</v>
      </c>
      <c r="D382" t="s">
        <v>20</v>
      </c>
      <c r="E382">
        <v>2021</v>
      </c>
      <c r="F382" t="s">
        <v>21</v>
      </c>
      <c r="G382" t="s">
        <v>22</v>
      </c>
      <c r="H382">
        <v>10</v>
      </c>
      <c r="I382">
        <v>25853.137</v>
      </c>
      <c r="J382" t="s">
        <v>36</v>
      </c>
      <c r="K382" s="3"/>
      <c r="N382" s="6">
        <f>IF(Tabela5[[#This Row],[Dim_Cenario'[Nome Cenario']]]=Tabela5[[#Headers],[INIC Atual]],Tabela5[[#This Row],['[Valores_cenario']]],0)</f>
        <v>25853.137</v>
      </c>
      <c r="O382" s="6">
        <f>IF(Tabela5[[#This Row],[Dim_Cenario'[Nome Cenario']]]=Tabela5[[#Headers],[Revisado]],Tabela5[[#This Row],['[Valores_cenario']]],0)</f>
        <v>0</v>
      </c>
      <c r="P382" s="6">
        <f>IF(Tabela5[[#This Row],[Dim_Cenario'[Nome Cenario']]]=Tabela5[[#Headers],[Realizado]],Tabela5[[#This Row],['[Valores_cenario']]],0)</f>
        <v>0</v>
      </c>
    </row>
    <row r="383" hidden="1" spans="1:16">
      <c r="A383" t="s">
        <v>97</v>
      </c>
      <c r="B383" t="s">
        <v>18</v>
      </c>
      <c r="C383" t="s">
        <v>98</v>
      </c>
      <c r="D383" t="s">
        <v>20</v>
      </c>
      <c r="E383">
        <v>2021</v>
      </c>
      <c r="F383" t="s">
        <v>21</v>
      </c>
      <c r="G383" t="s">
        <v>24</v>
      </c>
      <c r="H383">
        <v>11</v>
      </c>
      <c r="I383">
        <v>25853.137</v>
      </c>
      <c r="J383" t="s">
        <v>36</v>
      </c>
      <c r="K383" s="3"/>
      <c r="N383" s="6">
        <f>IF(Tabela5[[#This Row],[Dim_Cenario'[Nome Cenario']]]=Tabela5[[#Headers],[INIC Atual]],Tabela5[[#This Row],['[Valores_cenario']]],0)</f>
        <v>25853.137</v>
      </c>
      <c r="O383" s="6">
        <f>IF(Tabela5[[#This Row],[Dim_Cenario'[Nome Cenario']]]=Tabela5[[#Headers],[Revisado]],Tabela5[[#This Row],['[Valores_cenario']]],0)</f>
        <v>0</v>
      </c>
      <c r="P383" s="6">
        <f>IF(Tabela5[[#This Row],[Dim_Cenario'[Nome Cenario']]]=Tabela5[[#Headers],[Realizado]],Tabela5[[#This Row],['[Valores_cenario']]],0)</f>
        <v>0</v>
      </c>
    </row>
    <row r="384" hidden="1" spans="1:16">
      <c r="A384" t="s">
        <v>152</v>
      </c>
      <c r="B384" t="s">
        <v>18</v>
      </c>
      <c r="C384" t="s">
        <v>19</v>
      </c>
      <c r="D384" t="s">
        <v>14</v>
      </c>
      <c r="E384">
        <v>2019</v>
      </c>
      <c r="F384" t="s">
        <v>25</v>
      </c>
      <c r="G384" t="s">
        <v>26</v>
      </c>
      <c r="H384">
        <v>2</v>
      </c>
      <c r="I384">
        <v>71501.46</v>
      </c>
      <c r="J384" t="s">
        <v>36</v>
      </c>
      <c r="K384" s="3"/>
      <c r="N384" s="6">
        <f>IF(Tabela5[[#This Row],[Dim_Cenario'[Nome Cenario']]]=Tabela5[[#Headers],[INIC Atual]],Tabela5[[#This Row],['[Valores_cenario']]],0)</f>
        <v>0</v>
      </c>
      <c r="O384" s="6">
        <f>IF(Tabela5[[#This Row],[Dim_Cenario'[Nome Cenario']]]=Tabela5[[#Headers],[Revisado]],Tabela5[[#This Row],['[Valores_cenario']]],0)</f>
        <v>71501.46</v>
      </c>
      <c r="P384" s="6">
        <f>IF(Tabela5[[#This Row],[Dim_Cenario'[Nome Cenario']]]=Tabela5[[#Headers],[Realizado]],Tabela5[[#This Row],['[Valores_cenario']]],0)</f>
        <v>0</v>
      </c>
    </row>
    <row r="385" hidden="1" spans="1:16">
      <c r="A385" t="s">
        <v>152</v>
      </c>
      <c r="B385" t="s">
        <v>18</v>
      </c>
      <c r="C385" t="s">
        <v>19</v>
      </c>
      <c r="D385" t="s">
        <v>14</v>
      </c>
      <c r="E385">
        <v>2019</v>
      </c>
      <c r="F385" t="s">
        <v>27</v>
      </c>
      <c r="G385" t="s">
        <v>28</v>
      </c>
      <c r="H385">
        <v>4</v>
      </c>
      <c r="I385">
        <v>52602</v>
      </c>
      <c r="J385" t="s">
        <v>36</v>
      </c>
      <c r="K385" s="3"/>
      <c r="N385" s="6">
        <f>IF(Tabela5[[#This Row],[Dim_Cenario'[Nome Cenario']]]=Tabela5[[#Headers],[INIC Atual]],Tabela5[[#This Row],['[Valores_cenario']]],0)</f>
        <v>0</v>
      </c>
      <c r="O385" s="6">
        <f>IF(Tabela5[[#This Row],[Dim_Cenario'[Nome Cenario']]]=Tabela5[[#Headers],[Revisado]],Tabela5[[#This Row],['[Valores_cenario']]],0)</f>
        <v>52602</v>
      </c>
      <c r="P385" s="6">
        <f>IF(Tabela5[[#This Row],[Dim_Cenario'[Nome Cenario']]]=Tabela5[[#Headers],[Realizado]],Tabela5[[#This Row],['[Valores_cenario']]],0)</f>
        <v>0</v>
      </c>
    </row>
    <row r="386" hidden="1" spans="1:16">
      <c r="A386" t="s">
        <v>180</v>
      </c>
      <c r="B386" t="s">
        <v>18</v>
      </c>
      <c r="C386" t="s">
        <v>181</v>
      </c>
      <c r="D386" t="s">
        <v>14</v>
      </c>
      <c r="E386">
        <v>2020</v>
      </c>
      <c r="F386" t="s">
        <v>27</v>
      </c>
      <c r="G386" t="s">
        <v>28</v>
      </c>
      <c r="H386">
        <v>4</v>
      </c>
      <c r="I386">
        <v>18000</v>
      </c>
      <c r="J386" t="s">
        <v>36</v>
      </c>
      <c r="K386" s="3"/>
      <c r="N386" s="6">
        <f>IF(Tabela5[[#This Row],[Dim_Cenario'[Nome Cenario']]]=Tabela5[[#Headers],[INIC Atual]],Tabela5[[#This Row],['[Valores_cenario']]],0)</f>
        <v>0</v>
      </c>
      <c r="O386" s="6">
        <f>IF(Tabela5[[#This Row],[Dim_Cenario'[Nome Cenario']]]=Tabela5[[#Headers],[Revisado]],Tabela5[[#This Row],['[Valores_cenario']]],0)</f>
        <v>18000</v>
      </c>
      <c r="P386" s="6">
        <f>IF(Tabela5[[#This Row],[Dim_Cenario'[Nome Cenario']]]=Tabela5[[#Headers],[Realizado]],Tabela5[[#This Row],['[Valores_cenario']]],0)</f>
        <v>0</v>
      </c>
    </row>
    <row r="387" hidden="1" spans="1:16">
      <c r="A387" t="s">
        <v>180</v>
      </c>
      <c r="B387" t="s">
        <v>18</v>
      </c>
      <c r="C387" t="s">
        <v>181</v>
      </c>
      <c r="D387" t="s">
        <v>14</v>
      </c>
      <c r="E387">
        <v>2020</v>
      </c>
      <c r="F387" t="s">
        <v>30</v>
      </c>
      <c r="G387" t="s">
        <v>40</v>
      </c>
      <c r="H387">
        <v>7</v>
      </c>
      <c r="I387">
        <v>107000</v>
      </c>
      <c r="J387" t="s">
        <v>36</v>
      </c>
      <c r="K387" s="3"/>
      <c r="N387" s="6">
        <f>IF(Tabela5[[#This Row],[Dim_Cenario'[Nome Cenario']]]=Tabela5[[#Headers],[INIC Atual]],Tabela5[[#This Row],['[Valores_cenario']]],0)</f>
        <v>0</v>
      </c>
      <c r="O387" s="6">
        <f>IF(Tabela5[[#This Row],[Dim_Cenario'[Nome Cenario']]]=Tabela5[[#Headers],[Revisado]],Tabela5[[#This Row],['[Valores_cenario']]],0)</f>
        <v>107000</v>
      </c>
      <c r="P387" s="6">
        <f>IF(Tabela5[[#This Row],[Dim_Cenario'[Nome Cenario']]]=Tabela5[[#Headers],[Realizado]],Tabela5[[#This Row],['[Valores_cenario']]],0)</f>
        <v>0</v>
      </c>
    </row>
    <row r="388" hidden="1" spans="1:16">
      <c r="A388" t="s">
        <v>17</v>
      </c>
      <c r="B388" t="s">
        <v>18</v>
      </c>
      <c r="C388" t="s">
        <v>19</v>
      </c>
      <c r="D388" t="s">
        <v>14</v>
      </c>
      <c r="E388">
        <v>2020</v>
      </c>
      <c r="F388" t="s">
        <v>21</v>
      </c>
      <c r="G388" t="s">
        <v>32</v>
      </c>
      <c r="H388">
        <v>12</v>
      </c>
      <c r="I388">
        <v>54900.04</v>
      </c>
      <c r="J388" t="s">
        <v>36</v>
      </c>
      <c r="K388" s="3"/>
      <c r="N388" s="6">
        <f>IF(Tabela5[[#This Row],[Dim_Cenario'[Nome Cenario']]]=Tabela5[[#Headers],[INIC Atual]],Tabela5[[#This Row],['[Valores_cenario']]],0)</f>
        <v>0</v>
      </c>
      <c r="O388" s="6">
        <f>IF(Tabela5[[#This Row],[Dim_Cenario'[Nome Cenario']]]=Tabela5[[#Headers],[Revisado]],Tabela5[[#This Row],['[Valores_cenario']]],0)</f>
        <v>54900.04</v>
      </c>
      <c r="P388" s="6">
        <f>IF(Tabela5[[#This Row],[Dim_Cenario'[Nome Cenario']]]=Tabela5[[#Headers],[Realizado]],Tabela5[[#This Row],['[Valores_cenario']]],0)</f>
        <v>0</v>
      </c>
    </row>
    <row r="389" hidden="1" spans="1:16">
      <c r="A389" t="s">
        <v>17</v>
      </c>
      <c r="B389" t="s">
        <v>18</v>
      </c>
      <c r="C389" t="s">
        <v>19</v>
      </c>
      <c r="D389" t="s">
        <v>14</v>
      </c>
      <c r="E389">
        <v>2021</v>
      </c>
      <c r="F389" t="s">
        <v>25</v>
      </c>
      <c r="G389" t="s">
        <v>26</v>
      </c>
      <c r="H389">
        <v>2</v>
      </c>
      <c r="I389">
        <v>98504.04</v>
      </c>
      <c r="J389" t="s">
        <v>36</v>
      </c>
      <c r="K389" s="3"/>
      <c r="N389" s="6">
        <f>IF(Tabela5[[#This Row],[Dim_Cenario'[Nome Cenario']]]=Tabela5[[#Headers],[INIC Atual]],Tabela5[[#This Row],['[Valores_cenario']]],0)</f>
        <v>0</v>
      </c>
      <c r="O389" s="6">
        <f>IF(Tabela5[[#This Row],[Dim_Cenario'[Nome Cenario']]]=Tabela5[[#Headers],[Revisado]],Tabela5[[#This Row],['[Valores_cenario']]],0)</f>
        <v>98504.04</v>
      </c>
      <c r="P389" s="6">
        <f>IF(Tabela5[[#This Row],[Dim_Cenario'[Nome Cenario']]]=Tabela5[[#Headers],[Realizado]],Tabela5[[#This Row],['[Valores_cenario']]],0)</f>
        <v>0</v>
      </c>
    </row>
    <row r="390" hidden="1" spans="1:16">
      <c r="A390" t="s">
        <v>17</v>
      </c>
      <c r="B390" t="s">
        <v>18</v>
      </c>
      <c r="C390" t="s">
        <v>19</v>
      </c>
      <c r="D390" t="s">
        <v>14</v>
      </c>
      <c r="E390">
        <v>2021</v>
      </c>
      <c r="F390" t="s">
        <v>25</v>
      </c>
      <c r="G390" t="s">
        <v>38</v>
      </c>
      <c r="H390">
        <v>3</v>
      </c>
      <c r="I390">
        <v>70108.04</v>
      </c>
      <c r="J390" t="s">
        <v>36</v>
      </c>
      <c r="K390" s="3"/>
      <c r="N390" s="6">
        <f>IF(Tabela5[[#This Row],[Dim_Cenario'[Nome Cenario']]]=Tabela5[[#Headers],[INIC Atual]],Tabela5[[#This Row],['[Valores_cenario']]],0)</f>
        <v>0</v>
      </c>
      <c r="O390" s="6">
        <f>IF(Tabela5[[#This Row],[Dim_Cenario'[Nome Cenario']]]=Tabela5[[#Headers],[Revisado]],Tabela5[[#This Row],['[Valores_cenario']]],0)</f>
        <v>70108.04</v>
      </c>
      <c r="P390" s="6">
        <f>IF(Tabela5[[#This Row],[Dim_Cenario'[Nome Cenario']]]=Tabela5[[#Headers],[Realizado]],Tabela5[[#This Row],['[Valores_cenario']]],0)</f>
        <v>0</v>
      </c>
    </row>
    <row r="391" hidden="1" spans="1:16">
      <c r="A391" t="s">
        <v>17</v>
      </c>
      <c r="B391" t="s">
        <v>18</v>
      </c>
      <c r="C391" t="s">
        <v>19</v>
      </c>
      <c r="D391" t="s">
        <v>14</v>
      </c>
      <c r="E391">
        <v>2021</v>
      </c>
      <c r="F391" t="s">
        <v>21</v>
      </c>
      <c r="G391" t="s">
        <v>24</v>
      </c>
      <c r="H391">
        <v>11</v>
      </c>
      <c r="I391">
        <v>74504.04</v>
      </c>
      <c r="J391" t="s">
        <v>36</v>
      </c>
      <c r="K391" s="3"/>
      <c r="N391" s="6">
        <f>IF(Tabela5[[#This Row],[Dim_Cenario'[Nome Cenario']]]=Tabela5[[#Headers],[INIC Atual]],Tabela5[[#This Row],['[Valores_cenario']]],0)</f>
        <v>0</v>
      </c>
      <c r="O391" s="6">
        <f>IF(Tabela5[[#This Row],[Dim_Cenario'[Nome Cenario']]]=Tabela5[[#Headers],[Revisado]],Tabela5[[#This Row],['[Valores_cenario']]],0)</f>
        <v>74504.04</v>
      </c>
      <c r="P391" s="6">
        <f>IF(Tabela5[[#This Row],[Dim_Cenario'[Nome Cenario']]]=Tabela5[[#Headers],[Realizado]],Tabela5[[#This Row],['[Valores_cenario']]],0)</f>
        <v>0</v>
      </c>
    </row>
    <row r="392" hidden="1" spans="1:16">
      <c r="A392" t="s">
        <v>17</v>
      </c>
      <c r="B392" t="s">
        <v>18</v>
      </c>
      <c r="C392" t="s">
        <v>37</v>
      </c>
      <c r="D392" t="s">
        <v>14</v>
      </c>
      <c r="E392">
        <v>2022</v>
      </c>
      <c r="F392" t="s">
        <v>25</v>
      </c>
      <c r="G392" t="s">
        <v>26</v>
      </c>
      <c r="H392">
        <v>2</v>
      </c>
      <c r="I392">
        <v>21804.13</v>
      </c>
      <c r="J392" t="s">
        <v>23</v>
      </c>
      <c r="K392" s="3"/>
      <c r="N392" s="6">
        <f>IF(Tabela5[[#This Row],[Dim_Cenario'[Nome Cenario']]]=Tabela5[[#Headers],[INIC Atual]],Tabela5[[#This Row],['[Valores_cenario']]],0)</f>
        <v>0</v>
      </c>
      <c r="O392" s="6">
        <f>IF(Tabela5[[#This Row],[Dim_Cenario'[Nome Cenario']]]=Tabela5[[#Headers],[Revisado]],Tabela5[[#This Row],['[Valores_cenario']]],0)</f>
        <v>21804.13</v>
      </c>
      <c r="P392" s="6">
        <f>IF(Tabela5[[#This Row],[Dim_Cenario'[Nome Cenario']]]=Tabela5[[#Headers],[Realizado]],Tabela5[[#This Row],['[Valores_cenario']]],0)</f>
        <v>0</v>
      </c>
    </row>
    <row r="393" hidden="1" spans="1:16">
      <c r="A393" t="s">
        <v>17</v>
      </c>
      <c r="B393" t="s">
        <v>18</v>
      </c>
      <c r="C393" t="s">
        <v>37</v>
      </c>
      <c r="D393" t="s">
        <v>14</v>
      </c>
      <c r="E393">
        <v>2022</v>
      </c>
      <c r="F393" t="s">
        <v>25</v>
      </c>
      <c r="G393" t="s">
        <v>38</v>
      </c>
      <c r="H393">
        <v>3</v>
      </c>
      <c r="I393">
        <v>5008.13</v>
      </c>
      <c r="J393" t="s">
        <v>23</v>
      </c>
      <c r="K393" s="3"/>
      <c r="N393" s="6">
        <f>IF(Tabela5[[#This Row],[Dim_Cenario'[Nome Cenario']]]=Tabela5[[#Headers],[INIC Atual]],Tabela5[[#This Row],['[Valores_cenario']]],0)</f>
        <v>0</v>
      </c>
      <c r="O393" s="6">
        <f>IF(Tabela5[[#This Row],[Dim_Cenario'[Nome Cenario']]]=Tabela5[[#Headers],[Revisado]],Tabela5[[#This Row],['[Valores_cenario']]],0)</f>
        <v>5008.13</v>
      </c>
      <c r="P393" s="6">
        <f>IF(Tabela5[[#This Row],[Dim_Cenario'[Nome Cenario']]]=Tabela5[[#Headers],[Realizado]],Tabela5[[#This Row],['[Valores_cenario']]],0)</f>
        <v>0</v>
      </c>
    </row>
    <row r="394" hidden="1" spans="1:16">
      <c r="A394" t="s">
        <v>17</v>
      </c>
      <c r="B394" t="s">
        <v>18</v>
      </c>
      <c r="C394" t="s">
        <v>37</v>
      </c>
      <c r="D394" t="s">
        <v>14</v>
      </c>
      <c r="E394">
        <v>2022</v>
      </c>
      <c r="F394" t="s">
        <v>27</v>
      </c>
      <c r="G394" t="s">
        <v>28</v>
      </c>
      <c r="H394">
        <v>4</v>
      </c>
      <c r="I394">
        <v>17539.13</v>
      </c>
      <c r="J394" t="s">
        <v>23</v>
      </c>
      <c r="K394" s="3"/>
      <c r="N394" s="6">
        <f>IF(Tabela5[[#This Row],[Dim_Cenario'[Nome Cenario']]]=Tabela5[[#Headers],[INIC Atual]],Tabela5[[#This Row],['[Valores_cenario']]],0)</f>
        <v>0</v>
      </c>
      <c r="O394" s="6">
        <f>IF(Tabela5[[#This Row],[Dim_Cenario'[Nome Cenario']]]=Tabela5[[#Headers],[Revisado]],Tabela5[[#This Row],['[Valores_cenario']]],0)</f>
        <v>17539.13</v>
      </c>
      <c r="P394" s="6">
        <f>IF(Tabela5[[#This Row],[Dim_Cenario'[Nome Cenario']]]=Tabela5[[#Headers],[Realizado]],Tabela5[[#This Row],['[Valores_cenario']]],0)</f>
        <v>0</v>
      </c>
    </row>
    <row r="395" hidden="1" spans="1:16">
      <c r="A395" t="s">
        <v>17</v>
      </c>
      <c r="B395" t="s">
        <v>18</v>
      </c>
      <c r="C395" t="s">
        <v>37</v>
      </c>
      <c r="D395" t="s">
        <v>14</v>
      </c>
      <c r="E395">
        <v>2022</v>
      </c>
      <c r="F395" t="s">
        <v>27</v>
      </c>
      <c r="G395" t="s">
        <v>39</v>
      </c>
      <c r="H395">
        <v>5</v>
      </c>
      <c r="I395">
        <v>19557.13</v>
      </c>
      <c r="J395" t="s">
        <v>23</v>
      </c>
      <c r="K395" s="3"/>
      <c r="N395" s="6">
        <f>IF(Tabela5[[#This Row],[Dim_Cenario'[Nome Cenario']]]=Tabela5[[#Headers],[INIC Atual]],Tabela5[[#This Row],['[Valores_cenario']]],0)</f>
        <v>0</v>
      </c>
      <c r="O395" s="6">
        <f>IF(Tabela5[[#This Row],[Dim_Cenario'[Nome Cenario']]]=Tabela5[[#Headers],[Revisado]],Tabela5[[#This Row],['[Valores_cenario']]],0)</f>
        <v>19557.13</v>
      </c>
      <c r="P395" s="6">
        <f>IF(Tabela5[[#This Row],[Dim_Cenario'[Nome Cenario']]]=Tabela5[[#Headers],[Realizado]],Tabela5[[#This Row],['[Valores_cenario']]],0)</f>
        <v>0</v>
      </c>
    </row>
    <row r="396" hidden="1" spans="1:16">
      <c r="A396" t="s">
        <v>17</v>
      </c>
      <c r="B396" t="s">
        <v>18</v>
      </c>
      <c r="C396" t="s">
        <v>37</v>
      </c>
      <c r="D396" t="s">
        <v>14</v>
      </c>
      <c r="E396">
        <v>2022</v>
      </c>
      <c r="F396" t="s">
        <v>27</v>
      </c>
      <c r="G396" t="s">
        <v>29</v>
      </c>
      <c r="H396">
        <v>6</v>
      </c>
      <c r="I396">
        <v>29847.13</v>
      </c>
      <c r="J396" t="s">
        <v>23</v>
      </c>
      <c r="K396" s="3"/>
      <c r="N396" s="6">
        <f>IF(Tabela5[[#This Row],[Dim_Cenario'[Nome Cenario']]]=Tabela5[[#Headers],[INIC Atual]],Tabela5[[#This Row],['[Valores_cenario']]],0)</f>
        <v>0</v>
      </c>
      <c r="O396" s="6">
        <f>IF(Tabela5[[#This Row],[Dim_Cenario'[Nome Cenario']]]=Tabela5[[#Headers],[Revisado]],Tabela5[[#This Row],['[Valores_cenario']]],0)</f>
        <v>29847.13</v>
      </c>
      <c r="P396" s="6">
        <f>IF(Tabela5[[#This Row],[Dim_Cenario'[Nome Cenario']]]=Tabela5[[#Headers],[Realizado]],Tabela5[[#This Row],['[Valores_cenario']]],0)</f>
        <v>0</v>
      </c>
    </row>
    <row r="397" hidden="1" spans="1:16">
      <c r="A397" t="s">
        <v>17</v>
      </c>
      <c r="B397" t="s">
        <v>18</v>
      </c>
      <c r="C397" t="s">
        <v>37</v>
      </c>
      <c r="D397" t="s">
        <v>14</v>
      </c>
      <c r="E397">
        <v>2022</v>
      </c>
      <c r="F397" t="s">
        <v>30</v>
      </c>
      <c r="G397" t="s">
        <v>40</v>
      </c>
      <c r="H397">
        <v>7</v>
      </c>
      <c r="I397">
        <v>27309.13</v>
      </c>
      <c r="J397" t="s">
        <v>23</v>
      </c>
      <c r="K397" s="3"/>
      <c r="N397" s="6">
        <f>IF(Tabela5[[#This Row],[Dim_Cenario'[Nome Cenario']]]=Tabela5[[#Headers],[INIC Atual]],Tabela5[[#This Row],['[Valores_cenario']]],0)</f>
        <v>0</v>
      </c>
      <c r="O397" s="6">
        <f>IF(Tabela5[[#This Row],[Dim_Cenario'[Nome Cenario']]]=Tabela5[[#Headers],[Revisado]],Tabela5[[#This Row],['[Valores_cenario']]],0)</f>
        <v>27309.13</v>
      </c>
      <c r="P397" s="6">
        <f>IF(Tabela5[[#This Row],[Dim_Cenario'[Nome Cenario']]]=Tabela5[[#Headers],[Realizado]],Tabela5[[#This Row],['[Valores_cenario']]],0)</f>
        <v>0</v>
      </c>
    </row>
    <row r="398" hidden="1" spans="1:16">
      <c r="A398" t="s">
        <v>17</v>
      </c>
      <c r="B398" t="s">
        <v>18</v>
      </c>
      <c r="C398" t="s">
        <v>37</v>
      </c>
      <c r="D398" t="s">
        <v>14</v>
      </c>
      <c r="E398">
        <v>2022</v>
      </c>
      <c r="F398" t="s">
        <v>30</v>
      </c>
      <c r="G398" t="s">
        <v>31</v>
      </c>
      <c r="H398">
        <v>8</v>
      </c>
      <c r="I398">
        <v>27834.13</v>
      </c>
      <c r="J398" t="s">
        <v>23</v>
      </c>
      <c r="K398" s="3"/>
      <c r="N398" s="6">
        <f>IF(Tabela5[[#This Row],[Dim_Cenario'[Nome Cenario']]]=Tabela5[[#Headers],[INIC Atual]],Tabela5[[#This Row],['[Valores_cenario']]],0)</f>
        <v>0</v>
      </c>
      <c r="O398" s="6">
        <f>IF(Tabela5[[#This Row],[Dim_Cenario'[Nome Cenario']]]=Tabela5[[#Headers],[Revisado]],Tabela5[[#This Row],['[Valores_cenario']]],0)</f>
        <v>27834.13</v>
      </c>
      <c r="P398" s="6">
        <f>IF(Tabela5[[#This Row],[Dim_Cenario'[Nome Cenario']]]=Tabela5[[#Headers],[Realizado]],Tabela5[[#This Row],['[Valores_cenario']]],0)</f>
        <v>0</v>
      </c>
    </row>
    <row r="399" hidden="1" spans="1:16">
      <c r="A399" t="s">
        <v>17</v>
      </c>
      <c r="B399" t="s">
        <v>18</v>
      </c>
      <c r="C399" t="s">
        <v>37</v>
      </c>
      <c r="D399" t="s">
        <v>14</v>
      </c>
      <c r="E399">
        <v>2022</v>
      </c>
      <c r="F399" t="s">
        <v>30</v>
      </c>
      <c r="G399" t="s">
        <v>41</v>
      </c>
      <c r="H399">
        <v>9</v>
      </c>
      <c r="I399">
        <v>88432.85</v>
      </c>
      <c r="J399" t="s">
        <v>23</v>
      </c>
      <c r="K399" s="3"/>
      <c r="N399" s="6">
        <f>IF(Tabela5[[#This Row],[Dim_Cenario'[Nome Cenario']]]=Tabela5[[#Headers],[INIC Atual]],Tabela5[[#This Row],['[Valores_cenario']]],0)</f>
        <v>0</v>
      </c>
      <c r="O399" s="6">
        <f>IF(Tabela5[[#This Row],[Dim_Cenario'[Nome Cenario']]]=Tabela5[[#Headers],[Revisado]],Tabela5[[#This Row],['[Valores_cenario']]],0)</f>
        <v>88432.85</v>
      </c>
      <c r="P399" s="6">
        <f>IF(Tabela5[[#This Row],[Dim_Cenario'[Nome Cenario']]]=Tabela5[[#Headers],[Realizado]],Tabela5[[#This Row],['[Valores_cenario']]],0)</f>
        <v>0</v>
      </c>
    </row>
    <row r="400" hidden="1" spans="1:16">
      <c r="A400" t="s">
        <v>17</v>
      </c>
      <c r="B400" t="s">
        <v>18</v>
      </c>
      <c r="C400" t="s">
        <v>37</v>
      </c>
      <c r="D400" t="s">
        <v>14</v>
      </c>
      <c r="E400">
        <v>2022</v>
      </c>
      <c r="F400" t="s">
        <v>21</v>
      </c>
      <c r="G400" t="s">
        <v>22</v>
      </c>
      <c r="H400">
        <v>10</v>
      </c>
      <c r="I400">
        <v>42619.13</v>
      </c>
      <c r="J400" t="s">
        <v>23</v>
      </c>
      <c r="K400" s="3"/>
      <c r="N400" s="6">
        <f>IF(Tabela5[[#This Row],[Dim_Cenario'[Nome Cenario']]]=Tabela5[[#Headers],[INIC Atual]],Tabela5[[#This Row],['[Valores_cenario']]],0)</f>
        <v>0</v>
      </c>
      <c r="O400" s="6">
        <f>IF(Tabela5[[#This Row],[Dim_Cenario'[Nome Cenario']]]=Tabela5[[#Headers],[Revisado]],Tabela5[[#This Row],['[Valores_cenario']]],0)</f>
        <v>42619.13</v>
      </c>
      <c r="P400" s="6">
        <f>IF(Tabela5[[#This Row],[Dim_Cenario'[Nome Cenario']]]=Tabela5[[#Headers],[Realizado]],Tabela5[[#This Row],['[Valores_cenario']]],0)</f>
        <v>0</v>
      </c>
    </row>
    <row r="401" hidden="1" spans="1:16">
      <c r="A401" t="s">
        <v>17</v>
      </c>
      <c r="B401" t="s">
        <v>18</v>
      </c>
      <c r="C401" t="s">
        <v>37</v>
      </c>
      <c r="D401" t="s">
        <v>14</v>
      </c>
      <c r="E401">
        <v>2022</v>
      </c>
      <c r="F401" t="s">
        <v>21</v>
      </c>
      <c r="G401" t="s">
        <v>24</v>
      </c>
      <c r="H401">
        <v>11</v>
      </c>
      <c r="I401">
        <v>120818.13</v>
      </c>
      <c r="J401" t="s">
        <v>23</v>
      </c>
      <c r="K401" s="3"/>
      <c r="N401" s="6">
        <f>IF(Tabela5[[#This Row],[Dim_Cenario'[Nome Cenario']]]=Tabela5[[#Headers],[INIC Atual]],Tabela5[[#This Row],['[Valores_cenario']]],0)</f>
        <v>0</v>
      </c>
      <c r="O401" s="6">
        <f>IF(Tabela5[[#This Row],[Dim_Cenario'[Nome Cenario']]]=Tabela5[[#Headers],[Revisado]],Tabela5[[#This Row],['[Valores_cenario']]],0)</f>
        <v>120818.13</v>
      </c>
      <c r="P401" s="6">
        <f>IF(Tabela5[[#This Row],[Dim_Cenario'[Nome Cenario']]]=Tabela5[[#Headers],[Realizado]],Tabela5[[#This Row],['[Valores_cenario']]],0)</f>
        <v>0</v>
      </c>
    </row>
    <row r="402" hidden="1" spans="1:16">
      <c r="A402" t="s">
        <v>17</v>
      </c>
      <c r="B402" t="s">
        <v>92</v>
      </c>
      <c r="C402" t="s">
        <v>37</v>
      </c>
      <c r="D402" t="s">
        <v>14</v>
      </c>
      <c r="E402">
        <v>2022</v>
      </c>
      <c r="F402" t="s">
        <v>21</v>
      </c>
      <c r="G402" t="s">
        <v>22</v>
      </c>
      <c r="H402">
        <v>10</v>
      </c>
      <c r="I402">
        <v>34510</v>
      </c>
      <c r="J402" t="s">
        <v>23</v>
      </c>
      <c r="K402" s="3"/>
      <c r="N402" s="6">
        <f>IF(Tabela5[[#This Row],[Dim_Cenario'[Nome Cenario']]]=Tabela5[[#Headers],[INIC Atual]],Tabela5[[#This Row],['[Valores_cenario']]],0)</f>
        <v>0</v>
      </c>
      <c r="O402" s="6">
        <f>IF(Tabela5[[#This Row],[Dim_Cenario'[Nome Cenario']]]=Tabela5[[#Headers],[Revisado]],Tabela5[[#This Row],['[Valores_cenario']]],0)</f>
        <v>34510</v>
      </c>
      <c r="P402" s="6">
        <f>IF(Tabela5[[#This Row],[Dim_Cenario'[Nome Cenario']]]=Tabela5[[#Headers],[Realizado]],Tabela5[[#This Row],['[Valores_cenario']]],0)</f>
        <v>0</v>
      </c>
    </row>
    <row r="403" hidden="1" spans="1:16">
      <c r="A403" t="s">
        <v>17</v>
      </c>
      <c r="B403" t="s">
        <v>92</v>
      </c>
      <c r="C403" t="s">
        <v>37</v>
      </c>
      <c r="D403" t="s">
        <v>14</v>
      </c>
      <c r="E403">
        <v>2022</v>
      </c>
      <c r="F403" t="s">
        <v>21</v>
      </c>
      <c r="G403" t="s">
        <v>24</v>
      </c>
      <c r="H403">
        <v>11</v>
      </c>
      <c r="I403">
        <v>9474</v>
      </c>
      <c r="J403" t="s">
        <v>23</v>
      </c>
      <c r="K403" s="3"/>
      <c r="N403" s="6">
        <f>IF(Tabela5[[#This Row],[Dim_Cenario'[Nome Cenario']]]=Tabela5[[#Headers],[INIC Atual]],Tabela5[[#This Row],['[Valores_cenario']]],0)</f>
        <v>0</v>
      </c>
      <c r="O403" s="6">
        <f>IF(Tabela5[[#This Row],[Dim_Cenario'[Nome Cenario']]]=Tabela5[[#Headers],[Revisado]],Tabela5[[#This Row],['[Valores_cenario']]],0)</f>
        <v>9474</v>
      </c>
      <c r="P403" s="6">
        <f>IF(Tabela5[[#This Row],[Dim_Cenario'[Nome Cenario']]]=Tabela5[[#Headers],[Realizado]],Tabela5[[#This Row],['[Valores_cenario']]],0)</f>
        <v>0</v>
      </c>
    </row>
    <row r="404" spans="1:16">
      <c r="A404" t="s">
        <v>17</v>
      </c>
      <c r="B404" t="s">
        <v>18</v>
      </c>
      <c r="C404" t="s">
        <v>37</v>
      </c>
      <c r="D404" t="s">
        <v>15</v>
      </c>
      <c r="E404">
        <v>2020</v>
      </c>
      <c r="F404" t="s">
        <v>27</v>
      </c>
      <c r="G404" t="s">
        <v>39</v>
      </c>
      <c r="H404">
        <v>5</v>
      </c>
      <c r="I404">
        <v>3888.6</v>
      </c>
      <c r="J404" t="s">
        <v>36</v>
      </c>
      <c r="K404" s="3">
        <v>43964</v>
      </c>
      <c r="L404" t="s">
        <v>48</v>
      </c>
      <c r="M404" t="s">
        <v>182</v>
      </c>
      <c r="N404" s="6">
        <f>IF(Tabela5[[#This Row],[Dim_Cenario'[Nome Cenario']]]=Tabela5[[#Headers],[INIC Atual]],Tabela5[[#This Row],['[Valores_cenario']]],0)</f>
        <v>0</v>
      </c>
      <c r="O404" s="6">
        <f>IF(Tabela5[[#This Row],[Dim_Cenario'[Nome Cenario']]]=Tabela5[[#Headers],[Revisado]],Tabela5[[#This Row],['[Valores_cenario']]],0)</f>
        <v>0</v>
      </c>
      <c r="P404" s="6">
        <f>IF(Tabela5[[#This Row],[Dim_Cenario'[Nome Cenario']]]=Tabela5[[#Headers],[Realizado]],Tabela5[[#This Row],['[Valores_cenario']]],0)</f>
        <v>3888.6</v>
      </c>
    </row>
    <row r="405" spans="1:17">
      <c r="A405" s="1" t="s">
        <v>17</v>
      </c>
      <c r="B405" s="1" t="s">
        <v>18</v>
      </c>
      <c r="C405" s="1" t="s">
        <v>37</v>
      </c>
      <c r="D405" s="1" t="s">
        <v>15</v>
      </c>
      <c r="E405" s="1">
        <v>2021</v>
      </c>
      <c r="F405" s="1" t="s">
        <v>27</v>
      </c>
      <c r="G405" s="1" t="s">
        <v>39</v>
      </c>
      <c r="H405" s="1">
        <v>5</v>
      </c>
      <c r="I405" s="1">
        <v>3632.01</v>
      </c>
      <c r="J405" s="1" t="s">
        <v>36</v>
      </c>
      <c r="K405" s="8">
        <v>44341</v>
      </c>
      <c r="L405" s="1" t="s">
        <v>183</v>
      </c>
      <c r="M405" s="1" t="s">
        <v>184</v>
      </c>
      <c r="N405" s="9">
        <f>IF(Tabela5[[#This Row],[Dim_Cenario'[Nome Cenario']]]=Tabela5[[#Headers],[INIC Atual]],Tabela5[[#This Row],['[Valores_cenario']]],0)</f>
        <v>0</v>
      </c>
      <c r="O405" s="9">
        <f>IF(Tabela5[[#This Row],[Dim_Cenario'[Nome Cenario']]]=Tabela5[[#Headers],[Revisado]],Tabela5[[#This Row],['[Valores_cenario']]],0)</f>
        <v>0</v>
      </c>
      <c r="P405" s="9">
        <f>IF(Tabela5[[#This Row],[Dim_Cenario'[Nome Cenario']]]=Tabela5[[#Headers],[Realizado]],Tabela5[[#This Row],['[Valores_cenario']]],0)</f>
        <v>3632.01</v>
      </c>
      <c r="Q405" s="1"/>
    </row>
    <row r="406" hidden="1" spans="1:16">
      <c r="A406" t="s">
        <v>17</v>
      </c>
      <c r="B406" t="s">
        <v>18</v>
      </c>
      <c r="C406" t="s">
        <v>37</v>
      </c>
      <c r="D406" t="s">
        <v>15</v>
      </c>
      <c r="E406">
        <v>2022</v>
      </c>
      <c r="F406" t="s">
        <v>25</v>
      </c>
      <c r="G406" t="s">
        <v>35</v>
      </c>
      <c r="H406">
        <v>1</v>
      </c>
      <c r="I406">
        <v>-10264.1</v>
      </c>
      <c r="J406" t="s">
        <v>23</v>
      </c>
      <c r="K406" s="3">
        <v>44575</v>
      </c>
      <c r="L406" t="s">
        <v>50</v>
      </c>
      <c r="M406" t="s">
        <v>75</v>
      </c>
      <c r="N406" s="6">
        <f>IF(Tabela5[[#This Row],[Dim_Cenario'[Nome Cenario']]]=Tabela5[[#Headers],[INIC Atual]],Tabela5[[#This Row],['[Valores_cenario']]],0)</f>
        <v>0</v>
      </c>
      <c r="O406" s="6">
        <f>IF(Tabela5[[#This Row],[Dim_Cenario'[Nome Cenario']]]=Tabela5[[#Headers],[Revisado]],Tabela5[[#This Row],['[Valores_cenario']]],0)</f>
        <v>0</v>
      </c>
      <c r="P406" s="6">
        <f>IF(Tabela5[[#This Row],[Dim_Cenario'[Nome Cenario']]]=Tabela5[[#Headers],[Realizado]],Tabela5[[#This Row],['[Valores_cenario']]],0)</f>
        <v>-10264.1</v>
      </c>
    </row>
    <row r="407" spans="1:16">
      <c r="A407" t="s">
        <v>17</v>
      </c>
      <c r="B407" t="s">
        <v>18</v>
      </c>
      <c r="C407" t="s">
        <v>37</v>
      </c>
      <c r="D407" t="s">
        <v>15</v>
      </c>
      <c r="E407">
        <v>2021</v>
      </c>
      <c r="F407" t="s">
        <v>30</v>
      </c>
      <c r="G407" t="s">
        <v>31</v>
      </c>
      <c r="H407">
        <v>8</v>
      </c>
      <c r="I407">
        <v>3535.8</v>
      </c>
      <c r="J407" t="s">
        <v>36</v>
      </c>
      <c r="K407" s="3">
        <v>44426</v>
      </c>
      <c r="L407" t="s">
        <v>100</v>
      </c>
      <c r="M407" t="s">
        <v>185</v>
      </c>
      <c r="N407" s="6">
        <f>IF(Tabela5[[#This Row],[Dim_Cenario'[Nome Cenario']]]=Tabela5[[#Headers],[INIC Atual]],Tabela5[[#This Row],['[Valores_cenario']]],0)</f>
        <v>0</v>
      </c>
      <c r="O407" s="6">
        <f>IF(Tabela5[[#This Row],[Dim_Cenario'[Nome Cenario']]]=Tabela5[[#Headers],[Revisado]],Tabela5[[#This Row],['[Valores_cenario']]],0)</f>
        <v>0</v>
      </c>
      <c r="P407" s="6">
        <f>IF(Tabela5[[#This Row],[Dim_Cenario'[Nome Cenario']]]=Tabela5[[#Headers],[Realizado]],Tabela5[[#This Row],['[Valores_cenario']]],0)</f>
        <v>3535.8</v>
      </c>
    </row>
    <row r="408" spans="1:16">
      <c r="A408" t="s">
        <v>17</v>
      </c>
      <c r="B408" t="s">
        <v>18</v>
      </c>
      <c r="C408" t="s">
        <v>37</v>
      </c>
      <c r="D408" t="s">
        <v>15</v>
      </c>
      <c r="E408">
        <v>2025</v>
      </c>
      <c r="F408" t="s">
        <v>25</v>
      </c>
      <c r="G408" t="s">
        <v>26</v>
      </c>
      <c r="H408">
        <v>2</v>
      </c>
      <c r="I408">
        <v>3243.24</v>
      </c>
      <c r="J408" t="s">
        <v>33</v>
      </c>
      <c r="K408" s="3">
        <v>45707</v>
      </c>
      <c r="L408" t="s">
        <v>186</v>
      </c>
      <c r="M408" t="s">
        <v>187</v>
      </c>
      <c r="N408" s="6">
        <f>IF(Tabela5[[#This Row],[Dim_Cenario'[Nome Cenario']]]=Tabela5[[#Headers],[INIC Atual]],Tabela5[[#This Row],['[Valores_cenario']]],0)</f>
        <v>0</v>
      </c>
      <c r="O408" s="6">
        <f>IF(Tabela5[[#This Row],[Dim_Cenario'[Nome Cenario']]]=Tabela5[[#Headers],[Revisado]],Tabela5[[#This Row],['[Valores_cenario']]],0)</f>
        <v>0</v>
      </c>
      <c r="P408" s="6">
        <f>IF(Tabela5[[#This Row],[Dim_Cenario'[Nome Cenario']]]=Tabela5[[#Headers],[Realizado]],Tabela5[[#This Row],['[Valores_cenario']]],0)</f>
        <v>3243.24</v>
      </c>
    </row>
    <row r="409" spans="1:16">
      <c r="A409" t="s">
        <v>17</v>
      </c>
      <c r="B409" t="s">
        <v>18</v>
      </c>
      <c r="C409" t="s">
        <v>37</v>
      </c>
      <c r="D409" t="s">
        <v>15</v>
      </c>
      <c r="E409">
        <v>2019</v>
      </c>
      <c r="F409" t="s">
        <v>25</v>
      </c>
      <c r="G409" t="s">
        <v>26</v>
      </c>
      <c r="H409">
        <v>2</v>
      </c>
      <c r="I409">
        <v>3240.5</v>
      </c>
      <c r="J409" t="s">
        <v>36</v>
      </c>
      <c r="K409" s="3">
        <v>43515</v>
      </c>
      <c r="L409" t="s">
        <v>48</v>
      </c>
      <c r="M409" t="s">
        <v>188</v>
      </c>
      <c r="N409" s="6">
        <f>IF(Tabela5[[#This Row],[Dim_Cenario'[Nome Cenario']]]=Tabela5[[#Headers],[INIC Atual]],Tabela5[[#This Row],['[Valores_cenario']]],0)</f>
        <v>0</v>
      </c>
      <c r="O409" s="6">
        <f>IF(Tabela5[[#This Row],[Dim_Cenario'[Nome Cenario']]]=Tabela5[[#Headers],[Revisado]],Tabela5[[#This Row],['[Valores_cenario']]],0)</f>
        <v>0</v>
      </c>
      <c r="P409" s="6">
        <f>IF(Tabela5[[#This Row],[Dim_Cenario'[Nome Cenario']]]=Tabela5[[#Headers],[Realizado]],Tabela5[[#This Row],['[Valores_cenario']]],0)</f>
        <v>3240.5</v>
      </c>
    </row>
    <row r="410" spans="1:16">
      <c r="A410" t="s">
        <v>17</v>
      </c>
      <c r="B410" t="s">
        <v>18</v>
      </c>
      <c r="C410" t="s">
        <v>37</v>
      </c>
      <c r="D410" t="s">
        <v>15</v>
      </c>
      <c r="E410">
        <v>2019</v>
      </c>
      <c r="F410" t="s">
        <v>21</v>
      </c>
      <c r="G410" t="s">
        <v>22</v>
      </c>
      <c r="H410">
        <v>10</v>
      </c>
      <c r="I410">
        <v>3240.5</v>
      </c>
      <c r="J410" t="s">
        <v>36</v>
      </c>
      <c r="K410" s="3">
        <v>43748</v>
      </c>
      <c r="L410" t="s">
        <v>48</v>
      </c>
      <c r="M410" t="s">
        <v>189</v>
      </c>
      <c r="N410" s="6">
        <f>IF(Tabela5[[#This Row],[Dim_Cenario'[Nome Cenario']]]=Tabela5[[#Headers],[INIC Atual]],Tabela5[[#This Row],['[Valores_cenario']]],0)</f>
        <v>0</v>
      </c>
      <c r="O410" s="6">
        <f>IF(Tabela5[[#This Row],[Dim_Cenario'[Nome Cenario']]]=Tabela5[[#Headers],[Revisado]],Tabela5[[#This Row],['[Valores_cenario']]],0)</f>
        <v>0</v>
      </c>
      <c r="P410" s="6">
        <f>IF(Tabela5[[#This Row],[Dim_Cenario'[Nome Cenario']]]=Tabela5[[#Headers],[Realizado]],Tabela5[[#This Row],['[Valores_cenario']]],0)</f>
        <v>3240.5</v>
      </c>
    </row>
    <row r="411" spans="1:16">
      <c r="A411" t="s">
        <v>17</v>
      </c>
      <c r="B411" t="s">
        <v>18</v>
      </c>
      <c r="C411" t="s">
        <v>37</v>
      </c>
      <c r="D411" t="s">
        <v>15</v>
      </c>
      <c r="E411">
        <v>2023</v>
      </c>
      <c r="F411" t="s">
        <v>21</v>
      </c>
      <c r="G411" t="s">
        <v>32</v>
      </c>
      <c r="H411">
        <v>12</v>
      </c>
      <c r="I411">
        <v>3093.45</v>
      </c>
      <c r="J411" t="s">
        <v>23</v>
      </c>
      <c r="K411" s="3">
        <v>45267</v>
      </c>
      <c r="L411" t="s">
        <v>190</v>
      </c>
      <c r="M411" t="s">
        <v>191</v>
      </c>
      <c r="N411" s="6">
        <f>IF(Tabela5[[#This Row],[Dim_Cenario'[Nome Cenario']]]=Tabela5[[#Headers],[INIC Atual]],Tabela5[[#This Row],['[Valores_cenario']]],0)</f>
        <v>0</v>
      </c>
      <c r="O411" s="6">
        <f>IF(Tabela5[[#This Row],[Dim_Cenario'[Nome Cenario']]]=Tabela5[[#Headers],[Revisado]],Tabela5[[#This Row],['[Valores_cenario']]],0)</f>
        <v>0</v>
      </c>
      <c r="P411" s="6">
        <f>IF(Tabela5[[#This Row],[Dim_Cenario'[Nome Cenario']]]=Tabela5[[#Headers],[Realizado]],Tabela5[[#This Row],['[Valores_cenario']]],0)</f>
        <v>3093.45</v>
      </c>
    </row>
    <row r="412" spans="1:16">
      <c r="A412" t="s">
        <v>17</v>
      </c>
      <c r="B412" t="s">
        <v>18</v>
      </c>
      <c r="C412" t="s">
        <v>37</v>
      </c>
      <c r="D412" t="s">
        <v>15</v>
      </c>
      <c r="E412">
        <v>2019</v>
      </c>
      <c r="F412" t="s">
        <v>21</v>
      </c>
      <c r="G412" t="s">
        <v>22</v>
      </c>
      <c r="H412">
        <v>10</v>
      </c>
      <c r="I412">
        <v>2995.3</v>
      </c>
      <c r="J412" t="s">
        <v>36</v>
      </c>
      <c r="K412" s="3">
        <v>43769</v>
      </c>
      <c r="L412" t="s">
        <v>50</v>
      </c>
      <c r="M412" t="s">
        <v>192</v>
      </c>
      <c r="N412" s="6">
        <f>IF(Tabela5[[#This Row],[Dim_Cenario'[Nome Cenario']]]=Tabela5[[#Headers],[INIC Atual]],Tabela5[[#This Row],['[Valores_cenario']]],0)</f>
        <v>0</v>
      </c>
      <c r="O412" s="6">
        <f>IF(Tabela5[[#This Row],[Dim_Cenario'[Nome Cenario']]]=Tabela5[[#Headers],[Revisado]],Tabela5[[#This Row],['[Valores_cenario']]],0)</f>
        <v>0</v>
      </c>
      <c r="P412" s="6">
        <f>IF(Tabela5[[#This Row],[Dim_Cenario'[Nome Cenario']]]=Tabela5[[#Headers],[Realizado]],Tabela5[[#This Row],['[Valores_cenario']]],0)</f>
        <v>2995.3</v>
      </c>
    </row>
    <row r="413" hidden="1" spans="1:16">
      <c r="A413" t="s">
        <v>17</v>
      </c>
      <c r="B413" t="s">
        <v>18</v>
      </c>
      <c r="C413" t="s">
        <v>37</v>
      </c>
      <c r="D413" t="s">
        <v>15</v>
      </c>
      <c r="E413">
        <v>2022</v>
      </c>
      <c r="F413" t="s">
        <v>25</v>
      </c>
      <c r="G413" t="s">
        <v>38</v>
      </c>
      <c r="H413">
        <v>3</v>
      </c>
      <c r="I413">
        <v>-13553.9</v>
      </c>
      <c r="J413" t="s">
        <v>23</v>
      </c>
      <c r="K413" s="3">
        <v>44634</v>
      </c>
      <c r="L413" t="s">
        <v>50</v>
      </c>
      <c r="M413" t="s">
        <v>51</v>
      </c>
      <c r="N413" s="6">
        <f>IF(Tabela5[[#This Row],[Dim_Cenario'[Nome Cenario']]]=Tabela5[[#Headers],[INIC Atual]],Tabela5[[#This Row],['[Valores_cenario']]],0)</f>
        <v>0</v>
      </c>
      <c r="O413" s="6">
        <f>IF(Tabela5[[#This Row],[Dim_Cenario'[Nome Cenario']]]=Tabela5[[#Headers],[Revisado]],Tabela5[[#This Row],['[Valores_cenario']]],0)</f>
        <v>0</v>
      </c>
      <c r="P413" s="6">
        <f>IF(Tabela5[[#This Row],[Dim_Cenario'[Nome Cenario']]]=Tabela5[[#Headers],[Realizado]],Tabela5[[#This Row],['[Valores_cenario']]],0)</f>
        <v>-13553.9</v>
      </c>
    </row>
    <row r="414" spans="1:16">
      <c r="A414" t="s">
        <v>17</v>
      </c>
      <c r="B414" t="s">
        <v>18</v>
      </c>
      <c r="C414" t="s">
        <v>37</v>
      </c>
      <c r="D414" t="s">
        <v>15</v>
      </c>
      <c r="E414">
        <v>2019</v>
      </c>
      <c r="F414" t="s">
        <v>21</v>
      </c>
      <c r="G414" t="s">
        <v>24</v>
      </c>
      <c r="H414">
        <v>11</v>
      </c>
      <c r="I414">
        <v>2950</v>
      </c>
      <c r="J414" t="s">
        <v>36</v>
      </c>
      <c r="K414" s="3">
        <v>43787</v>
      </c>
      <c r="L414" t="s">
        <v>50</v>
      </c>
      <c r="M414" t="s">
        <v>193</v>
      </c>
      <c r="N414" s="6">
        <f>IF(Tabela5[[#This Row],[Dim_Cenario'[Nome Cenario']]]=Tabela5[[#Headers],[INIC Atual]],Tabela5[[#This Row],['[Valores_cenario']]],0)</f>
        <v>0</v>
      </c>
      <c r="O414" s="6">
        <f>IF(Tabela5[[#This Row],[Dim_Cenario'[Nome Cenario']]]=Tabela5[[#Headers],[Revisado]],Tabela5[[#This Row],['[Valores_cenario']]],0)</f>
        <v>0</v>
      </c>
      <c r="P414" s="6">
        <f>IF(Tabela5[[#This Row],[Dim_Cenario'[Nome Cenario']]]=Tabela5[[#Headers],[Realizado]],Tabela5[[#This Row],['[Valores_cenario']]],0)</f>
        <v>2950</v>
      </c>
    </row>
    <row r="415" spans="1:16">
      <c r="A415" t="s">
        <v>17</v>
      </c>
      <c r="B415" t="s">
        <v>18</v>
      </c>
      <c r="C415" t="s">
        <v>37</v>
      </c>
      <c r="D415" t="s">
        <v>15</v>
      </c>
      <c r="E415">
        <v>2019</v>
      </c>
      <c r="F415" t="s">
        <v>21</v>
      </c>
      <c r="G415" t="s">
        <v>24</v>
      </c>
      <c r="H415">
        <v>11</v>
      </c>
      <c r="I415">
        <v>2890</v>
      </c>
      <c r="J415" t="s">
        <v>36</v>
      </c>
      <c r="K415" s="3">
        <v>43798</v>
      </c>
      <c r="L415" t="s">
        <v>50</v>
      </c>
      <c r="M415" t="s">
        <v>194</v>
      </c>
      <c r="N415" s="6">
        <f>IF(Tabela5[[#This Row],[Dim_Cenario'[Nome Cenario']]]=Tabela5[[#Headers],[INIC Atual]],Tabela5[[#This Row],['[Valores_cenario']]],0)</f>
        <v>0</v>
      </c>
      <c r="O415" s="6">
        <f>IF(Tabela5[[#This Row],[Dim_Cenario'[Nome Cenario']]]=Tabela5[[#Headers],[Revisado]],Tabela5[[#This Row],['[Valores_cenario']]],0)</f>
        <v>0</v>
      </c>
      <c r="P415" s="6">
        <f>IF(Tabela5[[#This Row],[Dim_Cenario'[Nome Cenario']]]=Tabela5[[#Headers],[Realizado]],Tabela5[[#This Row],['[Valores_cenario']]],0)</f>
        <v>2890</v>
      </c>
    </row>
    <row r="416" spans="1:16">
      <c r="A416" t="s">
        <v>17</v>
      </c>
      <c r="B416" t="s">
        <v>18</v>
      </c>
      <c r="C416" t="s">
        <v>37</v>
      </c>
      <c r="D416" t="s">
        <v>15</v>
      </c>
      <c r="E416">
        <v>2023</v>
      </c>
      <c r="F416" t="s">
        <v>27</v>
      </c>
      <c r="G416" t="s">
        <v>28</v>
      </c>
      <c r="H416">
        <v>4</v>
      </c>
      <c r="I416">
        <v>2702.7</v>
      </c>
      <c r="J416" t="s">
        <v>23</v>
      </c>
      <c r="K416" s="3">
        <v>45036</v>
      </c>
      <c r="L416" t="s">
        <v>195</v>
      </c>
      <c r="M416" t="s">
        <v>196</v>
      </c>
      <c r="N416" s="6">
        <f>IF(Tabela5[[#This Row],[Dim_Cenario'[Nome Cenario']]]=Tabela5[[#Headers],[INIC Atual]],Tabela5[[#This Row],['[Valores_cenario']]],0)</f>
        <v>0</v>
      </c>
      <c r="O416" s="6">
        <f>IF(Tabela5[[#This Row],[Dim_Cenario'[Nome Cenario']]]=Tabela5[[#Headers],[Revisado]],Tabela5[[#This Row],['[Valores_cenario']]],0)</f>
        <v>0</v>
      </c>
      <c r="P416" s="6">
        <f>IF(Tabela5[[#This Row],[Dim_Cenario'[Nome Cenario']]]=Tabela5[[#Headers],[Realizado]],Tabela5[[#This Row],['[Valores_cenario']]],0)</f>
        <v>2702.7</v>
      </c>
    </row>
    <row r="417" spans="1:16">
      <c r="A417" t="s">
        <v>17</v>
      </c>
      <c r="B417" t="s">
        <v>18</v>
      </c>
      <c r="C417" t="s">
        <v>37</v>
      </c>
      <c r="D417" t="s">
        <v>15</v>
      </c>
      <c r="E417">
        <v>2022</v>
      </c>
      <c r="F417" t="s">
        <v>25</v>
      </c>
      <c r="G417" t="s">
        <v>38</v>
      </c>
      <c r="H417">
        <v>3</v>
      </c>
      <c r="I417">
        <v>2604.4</v>
      </c>
      <c r="J417" t="s">
        <v>23</v>
      </c>
      <c r="K417" s="3">
        <v>44650</v>
      </c>
      <c r="L417" t="s">
        <v>50</v>
      </c>
      <c r="M417" t="s">
        <v>197</v>
      </c>
      <c r="N417" s="6">
        <f>IF(Tabela5[[#This Row],[Dim_Cenario'[Nome Cenario']]]=Tabela5[[#Headers],[INIC Atual]],Tabela5[[#This Row],['[Valores_cenario']]],0)</f>
        <v>0</v>
      </c>
      <c r="O417" s="6">
        <f>IF(Tabela5[[#This Row],[Dim_Cenario'[Nome Cenario']]]=Tabela5[[#Headers],[Revisado]],Tabela5[[#This Row],['[Valores_cenario']]],0)</f>
        <v>0</v>
      </c>
      <c r="P417" s="6">
        <f>IF(Tabela5[[#This Row],[Dim_Cenario'[Nome Cenario']]]=Tabela5[[#Headers],[Realizado]],Tabela5[[#This Row],['[Valores_cenario']]],0)</f>
        <v>2604.4</v>
      </c>
    </row>
    <row r="418" spans="1:16">
      <c r="A418" t="s">
        <v>17</v>
      </c>
      <c r="B418" t="s">
        <v>18</v>
      </c>
      <c r="C418" t="s">
        <v>37</v>
      </c>
      <c r="D418" t="s">
        <v>15</v>
      </c>
      <c r="E418">
        <v>2020</v>
      </c>
      <c r="F418" t="s">
        <v>21</v>
      </c>
      <c r="G418" t="s">
        <v>24</v>
      </c>
      <c r="H418">
        <v>11</v>
      </c>
      <c r="I418">
        <v>2592.4</v>
      </c>
      <c r="J418" t="s">
        <v>36</v>
      </c>
      <c r="K418" s="3">
        <v>44146</v>
      </c>
      <c r="L418" t="s">
        <v>48</v>
      </c>
      <c r="M418" t="s">
        <v>198</v>
      </c>
      <c r="N418" s="6">
        <f>IF(Tabela5[[#This Row],[Dim_Cenario'[Nome Cenario']]]=Tabela5[[#Headers],[INIC Atual]],Tabela5[[#This Row],['[Valores_cenario']]],0)</f>
        <v>0</v>
      </c>
      <c r="O418" s="6">
        <f>IF(Tabela5[[#This Row],[Dim_Cenario'[Nome Cenario']]]=Tabela5[[#Headers],[Revisado]],Tabela5[[#This Row],['[Valores_cenario']]],0)</f>
        <v>0</v>
      </c>
      <c r="P418" s="6">
        <f>IF(Tabela5[[#This Row],[Dim_Cenario'[Nome Cenario']]]=Tabela5[[#Headers],[Realizado]],Tabela5[[#This Row],['[Valores_cenario']]],0)</f>
        <v>2592.4</v>
      </c>
    </row>
    <row r="419" spans="1:16">
      <c r="A419" t="s">
        <v>17</v>
      </c>
      <c r="B419" t="s">
        <v>18</v>
      </c>
      <c r="C419" t="s">
        <v>37</v>
      </c>
      <c r="D419" t="s">
        <v>15</v>
      </c>
      <c r="E419">
        <v>2020</v>
      </c>
      <c r="F419" t="s">
        <v>27</v>
      </c>
      <c r="G419" t="s">
        <v>29</v>
      </c>
      <c r="H419">
        <v>6</v>
      </c>
      <c r="I419">
        <v>2592.3</v>
      </c>
      <c r="J419" t="s">
        <v>36</v>
      </c>
      <c r="K419" s="3">
        <v>43990</v>
      </c>
      <c r="L419" t="s">
        <v>48</v>
      </c>
      <c r="M419" t="s">
        <v>199</v>
      </c>
      <c r="N419" s="6">
        <f>IF(Tabela5[[#This Row],[Dim_Cenario'[Nome Cenario']]]=Tabela5[[#Headers],[INIC Atual]],Tabela5[[#This Row],['[Valores_cenario']]],0)</f>
        <v>0</v>
      </c>
      <c r="O419" s="6">
        <f>IF(Tabela5[[#This Row],[Dim_Cenario'[Nome Cenario']]]=Tabela5[[#Headers],[Revisado]],Tabela5[[#This Row],['[Valores_cenario']]],0)</f>
        <v>0</v>
      </c>
      <c r="P419" s="6">
        <f>IF(Tabela5[[#This Row],[Dim_Cenario'[Nome Cenario']]]=Tabela5[[#Headers],[Realizado]],Tabela5[[#This Row],['[Valores_cenario']]],0)</f>
        <v>2592.3</v>
      </c>
    </row>
    <row r="420" spans="1:16">
      <c r="A420" t="s">
        <v>17</v>
      </c>
      <c r="B420" t="s">
        <v>18</v>
      </c>
      <c r="C420" t="s">
        <v>37</v>
      </c>
      <c r="D420" t="s">
        <v>15</v>
      </c>
      <c r="E420">
        <v>2019</v>
      </c>
      <c r="F420" t="s">
        <v>21</v>
      </c>
      <c r="G420" t="s">
        <v>32</v>
      </c>
      <c r="H420">
        <v>12</v>
      </c>
      <c r="I420">
        <v>2574.47</v>
      </c>
      <c r="J420" t="s">
        <v>36</v>
      </c>
      <c r="K420" s="3">
        <v>43815</v>
      </c>
      <c r="L420" t="s">
        <v>50</v>
      </c>
      <c r="M420" t="s">
        <v>200</v>
      </c>
      <c r="N420" s="6">
        <f>IF(Tabela5[[#This Row],[Dim_Cenario'[Nome Cenario']]]=Tabela5[[#Headers],[INIC Atual]],Tabela5[[#This Row],['[Valores_cenario']]],0)</f>
        <v>0</v>
      </c>
      <c r="O420" s="6">
        <f>IF(Tabela5[[#This Row],[Dim_Cenario'[Nome Cenario']]]=Tabela5[[#Headers],[Revisado]],Tabela5[[#This Row],['[Valores_cenario']]],0)</f>
        <v>0</v>
      </c>
      <c r="P420" s="6">
        <f>IF(Tabela5[[#This Row],[Dim_Cenario'[Nome Cenario']]]=Tabela5[[#Headers],[Realizado]],Tabela5[[#This Row],['[Valores_cenario']]],0)</f>
        <v>2574.47</v>
      </c>
    </row>
    <row r="421" spans="1:16">
      <c r="A421" t="s">
        <v>17</v>
      </c>
      <c r="B421" t="s">
        <v>18</v>
      </c>
      <c r="C421" t="s">
        <v>37</v>
      </c>
      <c r="D421" t="s">
        <v>15</v>
      </c>
      <c r="E421">
        <v>2021</v>
      </c>
      <c r="F421" t="s">
        <v>21</v>
      </c>
      <c r="G421" t="s">
        <v>22</v>
      </c>
      <c r="H421">
        <v>10</v>
      </c>
      <c r="I421">
        <v>2556.16</v>
      </c>
      <c r="J421" t="s">
        <v>36</v>
      </c>
      <c r="K421" s="3">
        <v>44488</v>
      </c>
      <c r="L421" t="s">
        <v>201</v>
      </c>
      <c r="M421" t="s">
        <v>202</v>
      </c>
      <c r="N421" s="6">
        <f>IF(Tabela5[[#This Row],[Dim_Cenario'[Nome Cenario']]]=Tabela5[[#Headers],[INIC Atual]],Tabela5[[#This Row],['[Valores_cenario']]],0)</f>
        <v>0</v>
      </c>
      <c r="O421" s="6">
        <f>IF(Tabela5[[#This Row],[Dim_Cenario'[Nome Cenario']]]=Tabela5[[#Headers],[Revisado]],Tabela5[[#This Row],['[Valores_cenario']]],0)</f>
        <v>0</v>
      </c>
      <c r="P421" s="6">
        <f>IF(Tabela5[[#This Row],[Dim_Cenario'[Nome Cenario']]]=Tabela5[[#Headers],[Realizado]],Tabela5[[#This Row],['[Valores_cenario']]],0)</f>
        <v>2556.16</v>
      </c>
    </row>
    <row r="422" spans="1:16">
      <c r="A422" t="s">
        <v>17</v>
      </c>
      <c r="B422" t="s">
        <v>18</v>
      </c>
      <c r="C422" t="s">
        <v>37</v>
      </c>
      <c r="D422" t="s">
        <v>15</v>
      </c>
      <c r="E422">
        <v>2021</v>
      </c>
      <c r="F422" t="s">
        <v>21</v>
      </c>
      <c r="G422" t="s">
        <v>32</v>
      </c>
      <c r="H422">
        <v>12</v>
      </c>
      <c r="I422">
        <v>2556.16</v>
      </c>
      <c r="J422" t="s">
        <v>36</v>
      </c>
      <c r="K422" s="3">
        <v>44559</v>
      </c>
      <c r="L422" t="s">
        <v>203</v>
      </c>
      <c r="M422" t="s">
        <v>204</v>
      </c>
      <c r="N422" s="6">
        <f>IF(Tabela5[[#This Row],[Dim_Cenario'[Nome Cenario']]]=Tabela5[[#Headers],[INIC Atual]],Tabela5[[#This Row],['[Valores_cenario']]],0)</f>
        <v>0</v>
      </c>
      <c r="O422" s="6">
        <f>IF(Tabela5[[#This Row],[Dim_Cenario'[Nome Cenario']]]=Tabela5[[#Headers],[Revisado]],Tabela5[[#This Row],['[Valores_cenario']]],0)</f>
        <v>0</v>
      </c>
      <c r="P422" s="6">
        <f>IF(Tabela5[[#This Row],[Dim_Cenario'[Nome Cenario']]]=Tabela5[[#Headers],[Realizado]],Tabela5[[#This Row],['[Valores_cenario']]],0)</f>
        <v>2556.16</v>
      </c>
    </row>
    <row r="423" spans="1:16">
      <c r="A423" t="s">
        <v>17</v>
      </c>
      <c r="B423" t="s">
        <v>18</v>
      </c>
      <c r="C423" t="s">
        <v>37</v>
      </c>
      <c r="D423" t="s">
        <v>15</v>
      </c>
      <c r="E423">
        <v>2021</v>
      </c>
      <c r="F423" t="s">
        <v>30</v>
      </c>
      <c r="G423" t="s">
        <v>40</v>
      </c>
      <c r="H423">
        <v>7</v>
      </c>
      <c r="I423">
        <v>2432</v>
      </c>
      <c r="J423" t="s">
        <v>36</v>
      </c>
      <c r="K423" s="3">
        <v>44399</v>
      </c>
      <c r="L423" t="s">
        <v>205</v>
      </c>
      <c r="M423" t="s">
        <v>206</v>
      </c>
      <c r="N423" s="6">
        <f>IF(Tabela5[[#This Row],[Dim_Cenario'[Nome Cenario']]]=Tabela5[[#Headers],[INIC Atual]],Tabela5[[#This Row],['[Valores_cenario']]],0)</f>
        <v>0</v>
      </c>
      <c r="O423" s="6">
        <f>IF(Tabela5[[#This Row],[Dim_Cenario'[Nome Cenario']]]=Tabela5[[#Headers],[Revisado]],Tabela5[[#This Row],['[Valores_cenario']]],0)</f>
        <v>0</v>
      </c>
      <c r="P423" s="6">
        <f>IF(Tabela5[[#This Row],[Dim_Cenario'[Nome Cenario']]]=Tabela5[[#Headers],[Realizado]],Tabela5[[#This Row],['[Valores_cenario']]],0)</f>
        <v>2432</v>
      </c>
    </row>
    <row r="424" spans="1:16">
      <c r="A424" t="s">
        <v>17</v>
      </c>
      <c r="B424" t="s">
        <v>92</v>
      </c>
      <c r="C424" t="s">
        <v>37</v>
      </c>
      <c r="D424" t="s">
        <v>15</v>
      </c>
      <c r="E424">
        <v>2025</v>
      </c>
      <c r="F424" t="s">
        <v>21</v>
      </c>
      <c r="G424" t="s">
        <v>22</v>
      </c>
      <c r="H424">
        <v>10</v>
      </c>
      <c r="I424">
        <v>2419.99</v>
      </c>
      <c r="J424" t="s">
        <v>33</v>
      </c>
      <c r="K424" s="3">
        <v>45961</v>
      </c>
      <c r="M424" t="s">
        <v>207</v>
      </c>
      <c r="N424" s="6">
        <f>IF(Tabela5[[#This Row],[Dim_Cenario'[Nome Cenario']]]=Tabela5[[#Headers],[INIC Atual]],Tabela5[[#This Row],['[Valores_cenario']]],0)</f>
        <v>0</v>
      </c>
      <c r="O424" s="6">
        <f>IF(Tabela5[[#This Row],[Dim_Cenario'[Nome Cenario']]]=Tabela5[[#Headers],[Revisado]],Tabela5[[#This Row],['[Valores_cenario']]],0)</f>
        <v>0</v>
      </c>
      <c r="P424" s="6">
        <f>IF(Tabela5[[#This Row],[Dim_Cenario'[Nome Cenario']]]=Tabela5[[#Headers],[Realizado]],Tabela5[[#This Row],['[Valores_cenario']]],0)</f>
        <v>2419.99</v>
      </c>
    </row>
    <row r="425" spans="1:16">
      <c r="A425" t="s">
        <v>17</v>
      </c>
      <c r="B425" t="s">
        <v>18</v>
      </c>
      <c r="C425" t="s">
        <v>37</v>
      </c>
      <c r="D425" t="s">
        <v>15</v>
      </c>
      <c r="E425">
        <v>2019</v>
      </c>
      <c r="F425" t="s">
        <v>21</v>
      </c>
      <c r="G425" t="s">
        <v>32</v>
      </c>
      <c r="H425">
        <v>12</v>
      </c>
      <c r="I425">
        <v>2362.14</v>
      </c>
      <c r="J425" t="s">
        <v>36</v>
      </c>
      <c r="K425" s="3">
        <v>43826</v>
      </c>
      <c r="L425" t="s">
        <v>50</v>
      </c>
      <c r="M425" t="s">
        <v>208</v>
      </c>
      <c r="N425" s="6">
        <f>IF(Tabela5[[#This Row],[Dim_Cenario'[Nome Cenario']]]=Tabela5[[#Headers],[INIC Atual]],Tabela5[[#This Row],['[Valores_cenario']]],0)</f>
        <v>0</v>
      </c>
      <c r="O425" s="6">
        <f>IF(Tabela5[[#This Row],[Dim_Cenario'[Nome Cenario']]]=Tabela5[[#Headers],[Revisado]],Tabela5[[#This Row],['[Valores_cenario']]],0)</f>
        <v>0</v>
      </c>
      <c r="P425" s="6">
        <f>IF(Tabela5[[#This Row],[Dim_Cenario'[Nome Cenario']]]=Tabela5[[#Headers],[Realizado]],Tabela5[[#This Row],['[Valores_cenario']]],0)</f>
        <v>2362.14</v>
      </c>
    </row>
    <row r="426" spans="1:16">
      <c r="A426" t="s">
        <v>17</v>
      </c>
      <c r="B426" t="s">
        <v>18</v>
      </c>
      <c r="C426" t="s">
        <v>37</v>
      </c>
      <c r="D426" t="s">
        <v>15</v>
      </c>
      <c r="E426">
        <v>2019</v>
      </c>
      <c r="F426" t="s">
        <v>21</v>
      </c>
      <c r="G426" t="s">
        <v>32</v>
      </c>
      <c r="H426">
        <v>12</v>
      </c>
      <c r="I426">
        <v>2362.14</v>
      </c>
      <c r="J426" t="s">
        <v>36</v>
      </c>
      <c r="K426" s="3">
        <v>43829</v>
      </c>
      <c r="L426" t="s">
        <v>50</v>
      </c>
      <c r="M426" t="s">
        <v>209</v>
      </c>
      <c r="N426" s="6">
        <f>IF(Tabela5[[#This Row],[Dim_Cenario'[Nome Cenario']]]=Tabela5[[#Headers],[INIC Atual]],Tabela5[[#This Row],['[Valores_cenario']]],0)</f>
        <v>0</v>
      </c>
      <c r="O426" s="6">
        <f>IF(Tabela5[[#This Row],[Dim_Cenario'[Nome Cenario']]]=Tabela5[[#Headers],[Revisado]],Tabela5[[#This Row],['[Valores_cenario']]],0)</f>
        <v>0</v>
      </c>
      <c r="P426" s="6">
        <f>IF(Tabela5[[#This Row],[Dim_Cenario'[Nome Cenario']]]=Tabela5[[#Headers],[Realizado]],Tabela5[[#This Row],['[Valores_cenario']]],0)</f>
        <v>2362.14</v>
      </c>
    </row>
    <row r="427" hidden="1" spans="1:16">
      <c r="A427" t="s">
        <v>17</v>
      </c>
      <c r="B427" t="s">
        <v>18</v>
      </c>
      <c r="C427" t="s">
        <v>96</v>
      </c>
      <c r="D427" t="s">
        <v>14</v>
      </c>
      <c r="E427">
        <v>2019</v>
      </c>
      <c r="F427" t="s">
        <v>21</v>
      </c>
      <c r="G427" t="s">
        <v>24</v>
      </c>
      <c r="H427">
        <v>11</v>
      </c>
      <c r="I427">
        <v>26666.66</v>
      </c>
      <c r="J427" t="s">
        <v>36</v>
      </c>
      <c r="K427" s="3"/>
      <c r="N427" s="6">
        <f>IF(Tabela5[[#This Row],[Dim_Cenario'[Nome Cenario']]]=Tabela5[[#Headers],[INIC Atual]],Tabela5[[#This Row],['[Valores_cenario']]],0)</f>
        <v>0</v>
      </c>
      <c r="O427" s="6">
        <f>IF(Tabela5[[#This Row],[Dim_Cenario'[Nome Cenario']]]=Tabela5[[#Headers],[Revisado]],Tabela5[[#This Row],['[Valores_cenario']]],0)</f>
        <v>26666.66</v>
      </c>
      <c r="P427" s="6">
        <f>IF(Tabela5[[#This Row],[Dim_Cenario'[Nome Cenario']]]=Tabela5[[#Headers],[Realizado]],Tabela5[[#This Row],['[Valores_cenario']]],0)</f>
        <v>0</v>
      </c>
    </row>
    <row r="428" hidden="1" spans="1:16">
      <c r="A428" t="s">
        <v>17</v>
      </c>
      <c r="B428" t="s">
        <v>18</v>
      </c>
      <c r="C428" t="s">
        <v>96</v>
      </c>
      <c r="D428" t="s">
        <v>14</v>
      </c>
      <c r="E428">
        <v>2019</v>
      </c>
      <c r="F428" t="s">
        <v>21</v>
      </c>
      <c r="G428" t="s">
        <v>32</v>
      </c>
      <c r="H428">
        <v>12</v>
      </c>
      <c r="I428">
        <v>26666.67</v>
      </c>
      <c r="J428" t="s">
        <v>36</v>
      </c>
      <c r="K428" s="3"/>
      <c r="N428" s="6">
        <f>IF(Tabela5[[#This Row],[Dim_Cenario'[Nome Cenario']]]=Tabela5[[#Headers],[INIC Atual]],Tabela5[[#This Row],['[Valores_cenario']]],0)</f>
        <v>0</v>
      </c>
      <c r="O428" s="6">
        <f>IF(Tabela5[[#This Row],[Dim_Cenario'[Nome Cenario']]]=Tabela5[[#Headers],[Revisado]],Tabela5[[#This Row],['[Valores_cenario']]],0)</f>
        <v>26666.67</v>
      </c>
      <c r="P428" s="6">
        <f>IF(Tabela5[[#This Row],[Dim_Cenario'[Nome Cenario']]]=Tabela5[[#Headers],[Realizado]],Tabela5[[#This Row],['[Valores_cenario']]],0)</f>
        <v>0</v>
      </c>
    </row>
    <row r="429" hidden="1" spans="1:16">
      <c r="A429" t="s">
        <v>17</v>
      </c>
      <c r="B429" t="s">
        <v>18</v>
      </c>
      <c r="C429" t="s">
        <v>96</v>
      </c>
      <c r="D429" t="s">
        <v>14</v>
      </c>
      <c r="E429">
        <v>2020</v>
      </c>
      <c r="F429" t="s">
        <v>25</v>
      </c>
      <c r="G429" t="s">
        <v>35</v>
      </c>
      <c r="H429">
        <v>1</v>
      </c>
      <c r="I429">
        <v>26667</v>
      </c>
      <c r="J429" t="s">
        <v>36</v>
      </c>
      <c r="K429" s="3"/>
      <c r="N429" s="6">
        <f>IF(Tabela5[[#This Row],[Dim_Cenario'[Nome Cenario']]]=Tabela5[[#Headers],[INIC Atual]],Tabela5[[#This Row],['[Valores_cenario']]],0)</f>
        <v>0</v>
      </c>
      <c r="O429" s="6">
        <f>IF(Tabela5[[#This Row],[Dim_Cenario'[Nome Cenario']]]=Tabela5[[#Headers],[Revisado]],Tabela5[[#This Row],['[Valores_cenario']]],0)</f>
        <v>26667</v>
      </c>
      <c r="P429" s="6">
        <f>IF(Tabela5[[#This Row],[Dim_Cenario'[Nome Cenario']]]=Tabela5[[#Headers],[Realizado]],Tabela5[[#This Row],['[Valores_cenario']]],0)</f>
        <v>0</v>
      </c>
    </row>
    <row r="430" hidden="1" spans="1:16">
      <c r="A430" t="s">
        <v>17</v>
      </c>
      <c r="B430" t="s">
        <v>18</v>
      </c>
      <c r="C430" t="s">
        <v>96</v>
      </c>
      <c r="D430" t="s">
        <v>14</v>
      </c>
      <c r="E430">
        <v>2020</v>
      </c>
      <c r="F430" t="s">
        <v>25</v>
      </c>
      <c r="G430" t="s">
        <v>26</v>
      </c>
      <c r="H430">
        <v>2</v>
      </c>
      <c r="I430">
        <v>26667</v>
      </c>
      <c r="J430" t="s">
        <v>36</v>
      </c>
      <c r="K430" s="3"/>
      <c r="N430" s="6">
        <f>IF(Tabela5[[#This Row],[Dim_Cenario'[Nome Cenario']]]=Tabela5[[#Headers],[INIC Atual]],Tabela5[[#This Row],['[Valores_cenario']]],0)</f>
        <v>0</v>
      </c>
      <c r="O430" s="6">
        <f>IF(Tabela5[[#This Row],[Dim_Cenario'[Nome Cenario']]]=Tabela5[[#Headers],[Revisado]],Tabela5[[#This Row],['[Valores_cenario']]],0)</f>
        <v>26667</v>
      </c>
      <c r="P430" s="6">
        <f>IF(Tabela5[[#This Row],[Dim_Cenario'[Nome Cenario']]]=Tabela5[[#Headers],[Realizado]],Tabela5[[#This Row],['[Valores_cenario']]],0)</f>
        <v>0</v>
      </c>
    </row>
    <row r="431" hidden="1" spans="1:16">
      <c r="A431" t="s">
        <v>17</v>
      </c>
      <c r="B431" t="s">
        <v>18</v>
      </c>
      <c r="C431" t="s">
        <v>96</v>
      </c>
      <c r="D431" t="s">
        <v>14</v>
      </c>
      <c r="E431">
        <v>2020</v>
      </c>
      <c r="F431" t="s">
        <v>25</v>
      </c>
      <c r="G431" t="s">
        <v>38</v>
      </c>
      <c r="H431">
        <v>3</v>
      </c>
      <c r="I431">
        <v>26667</v>
      </c>
      <c r="J431" t="s">
        <v>36</v>
      </c>
      <c r="K431" s="3"/>
      <c r="N431" s="6">
        <f>IF(Tabela5[[#This Row],[Dim_Cenario'[Nome Cenario']]]=Tabela5[[#Headers],[INIC Atual]],Tabela5[[#This Row],['[Valores_cenario']]],0)</f>
        <v>0</v>
      </c>
      <c r="O431" s="6">
        <f>IF(Tabela5[[#This Row],[Dim_Cenario'[Nome Cenario']]]=Tabela5[[#Headers],[Revisado]],Tabela5[[#This Row],['[Valores_cenario']]],0)</f>
        <v>26667</v>
      </c>
      <c r="P431" s="6">
        <f>IF(Tabela5[[#This Row],[Dim_Cenario'[Nome Cenario']]]=Tabela5[[#Headers],[Realizado]],Tabela5[[#This Row],['[Valores_cenario']]],0)</f>
        <v>0</v>
      </c>
    </row>
    <row r="432" hidden="1" spans="1:16">
      <c r="A432" t="s">
        <v>17</v>
      </c>
      <c r="B432" t="s">
        <v>18</v>
      </c>
      <c r="C432" t="s">
        <v>96</v>
      </c>
      <c r="D432" t="s">
        <v>14</v>
      </c>
      <c r="E432">
        <v>2020</v>
      </c>
      <c r="F432" t="s">
        <v>27</v>
      </c>
      <c r="G432" t="s">
        <v>28</v>
      </c>
      <c r="H432">
        <v>4</v>
      </c>
      <c r="I432">
        <v>26665</v>
      </c>
      <c r="J432" t="s">
        <v>36</v>
      </c>
      <c r="K432" s="3"/>
      <c r="N432" s="6">
        <f>IF(Tabela5[[#This Row],[Dim_Cenario'[Nome Cenario']]]=Tabela5[[#Headers],[INIC Atual]],Tabela5[[#This Row],['[Valores_cenario']]],0)</f>
        <v>0</v>
      </c>
      <c r="O432" s="6">
        <f>IF(Tabela5[[#This Row],[Dim_Cenario'[Nome Cenario']]]=Tabela5[[#Headers],[Revisado]],Tabela5[[#This Row],['[Valores_cenario']]],0)</f>
        <v>26665</v>
      </c>
      <c r="P432" s="6">
        <f>IF(Tabela5[[#This Row],[Dim_Cenario'[Nome Cenario']]]=Tabela5[[#Headers],[Realizado]],Tabela5[[#This Row],['[Valores_cenario']]],0)</f>
        <v>0</v>
      </c>
    </row>
    <row r="433" hidden="1" spans="1:16">
      <c r="A433" t="s">
        <v>17</v>
      </c>
      <c r="B433" t="s">
        <v>18</v>
      </c>
      <c r="C433" t="s">
        <v>96</v>
      </c>
      <c r="D433" t="s">
        <v>14</v>
      </c>
      <c r="E433">
        <v>2020</v>
      </c>
      <c r="F433" t="s">
        <v>21</v>
      </c>
      <c r="G433" t="s">
        <v>32</v>
      </c>
      <c r="H433">
        <v>12</v>
      </c>
      <c r="I433">
        <v>30000</v>
      </c>
      <c r="J433" t="s">
        <v>36</v>
      </c>
      <c r="K433" s="3"/>
      <c r="N433" s="6">
        <f>IF(Tabela5[[#This Row],[Dim_Cenario'[Nome Cenario']]]=Tabela5[[#Headers],[INIC Atual]],Tabela5[[#This Row],['[Valores_cenario']]],0)</f>
        <v>0</v>
      </c>
      <c r="O433" s="6">
        <f>IF(Tabela5[[#This Row],[Dim_Cenario'[Nome Cenario']]]=Tabela5[[#Headers],[Revisado]],Tabela5[[#This Row],['[Valores_cenario']]],0)</f>
        <v>30000</v>
      </c>
      <c r="P433" s="6">
        <f>IF(Tabela5[[#This Row],[Dim_Cenario'[Nome Cenario']]]=Tabela5[[#Headers],[Realizado]],Tabela5[[#This Row],['[Valores_cenario']]],0)</f>
        <v>0</v>
      </c>
    </row>
    <row r="434" hidden="1" spans="1:16">
      <c r="A434" t="s">
        <v>17</v>
      </c>
      <c r="B434" t="s">
        <v>18</v>
      </c>
      <c r="C434" t="s">
        <v>96</v>
      </c>
      <c r="D434" t="s">
        <v>14</v>
      </c>
      <c r="E434">
        <v>2021</v>
      </c>
      <c r="F434" t="s">
        <v>25</v>
      </c>
      <c r="G434" t="s">
        <v>35</v>
      </c>
      <c r="H434">
        <v>1</v>
      </c>
      <c r="I434">
        <v>26675</v>
      </c>
      <c r="J434" t="s">
        <v>36</v>
      </c>
      <c r="K434" s="3"/>
      <c r="N434" s="6">
        <f>IF(Tabela5[[#This Row],[Dim_Cenario'[Nome Cenario']]]=Tabela5[[#Headers],[INIC Atual]],Tabela5[[#This Row],['[Valores_cenario']]],0)</f>
        <v>0</v>
      </c>
      <c r="O434" s="6">
        <f>IF(Tabela5[[#This Row],[Dim_Cenario'[Nome Cenario']]]=Tabela5[[#Headers],[Revisado]],Tabela5[[#This Row],['[Valores_cenario']]],0)</f>
        <v>26675</v>
      </c>
      <c r="P434" s="6">
        <f>IF(Tabela5[[#This Row],[Dim_Cenario'[Nome Cenario']]]=Tabela5[[#Headers],[Realizado]],Tabela5[[#This Row],['[Valores_cenario']]],0)</f>
        <v>0</v>
      </c>
    </row>
    <row r="435" hidden="1" spans="1:16">
      <c r="A435" t="s">
        <v>17</v>
      </c>
      <c r="B435" t="s">
        <v>18</v>
      </c>
      <c r="C435" t="s">
        <v>96</v>
      </c>
      <c r="D435" t="s">
        <v>14</v>
      </c>
      <c r="E435">
        <v>2021</v>
      </c>
      <c r="F435" t="s">
        <v>25</v>
      </c>
      <c r="G435" t="s">
        <v>26</v>
      </c>
      <c r="H435">
        <v>2</v>
      </c>
      <c r="I435">
        <v>26675</v>
      </c>
      <c r="J435" t="s">
        <v>36</v>
      </c>
      <c r="K435" s="3"/>
      <c r="N435" s="6">
        <f>IF(Tabela5[[#This Row],[Dim_Cenario'[Nome Cenario']]]=Tabela5[[#Headers],[INIC Atual]],Tabela5[[#This Row],['[Valores_cenario']]],0)</f>
        <v>0</v>
      </c>
      <c r="O435" s="6">
        <f>IF(Tabela5[[#This Row],[Dim_Cenario'[Nome Cenario']]]=Tabela5[[#Headers],[Revisado]],Tabela5[[#This Row],['[Valores_cenario']]],0)</f>
        <v>26675</v>
      </c>
      <c r="P435" s="6">
        <f>IF(Tabela5[[#This Row],[Dim_Cenario'[Nome Cenario']]]=Tabela5[[#Headers],[Realizado]],Tabela5[[#This Row],['[Valores_cenario']]],0)</f>
        <v>0</v>
      </c>
    </row>
    <row r="436" hidden="1" spans="1:16">
      <c r="A436" t="s">
        <v>17</v>
      </c>
      <c r="B436" t="s">
        <v>18</v>
      </c>
      <c r="C436" t="s">
        <v>96</v>
      </c>
      <c r="D436" t="s">
        <v>14</v>
      </c>
      <c r="E436">
        <v>2021</v>
      </c>
      <c r="F436" t="s">
        <v>25</v>
      </c>
      <c r="G436" t="s">
        <v>38</v>
      </c>
      <c r="H436">
        <v>3</v>
      </c>
      <c r="I436">
        <v>26675</v>
      </c>
      <c r="J436" t="s">
        <v>36</v>
      </c>
      <c r="K436" s="3"/>
      <c r="N436" s="6">
        <f>IF(Tabela5[[#This Row],[Dim_Cenario'[Nome Cenario']]]=Tabela5[[#Headers],[INIC Atual]],Tabela5[[#This Row],['[Valores_cenario']]],0)</f>
        <v>0</v>
      </c>
      <c r="O436" s="6">
        <f>IF(Tabela5[[#This Row],[Dim_Cenario'[Nome Cenario']]]=Tabela5[[#Headers],[Revisado]],Tabela5[[#This Row],['[Valores_cenario']]],0)</f>
        <v>26675</v>
      </c>
      <c r="P436" s="6">
        <f>IF(Tabela5[[#This Row],[Dim_Cenario'[Nome Cenario']]]=Tabela5[[#Headers],[Realizado]],Tabela5[[#This Row],['[Valores_cenario']]],0)</f>
        <v>0</v>
      </c>
    </row>
    <row r="437" hidden="1" spans="1:16">
      <c r="A437" t="s">
        <v>17</v>
      </c>
      <c r="B437" t="s">
        <v>18</v>
      </c>
      <c r="C437" t="s">
        <v>96</v>
      </c>
      <c r="D437" t="s">
        <v>14</v>
      </c>
      <c r="E437">
        <v>2021</v>
      </c>
      <c r="F437" t="s">
        <v>27</v>
      </c>
      <c r="G437" t="s">
        <v>28</v>
      </c>
      <c r="H437">
        <v>4</v>
      </c>
      <c r="I437">
        <v>26675</v>
      </c>
      <c r="J437" t="s">
        <v>36</v>
      </c>
      <c r="K437" s="3"/>
      <c r="N437" s="6">
        <f>IF(Tabela5[[#This Row],[Dim_Cenario'[Nome Cenario']]]=Tabela5[[#Headers],[INIC Atual]],Tabela5[[#This Row],['[Valores_cenario']]],0)</f>
        <v>0</v>
      </c>
      <c r="O437" s="6">
        <f>IF(Tabela5[[#This Row],[Dim_Cenario'[Nome Cenario']]]=Tabela5[[#Headers],[Revisado]],Tabela5[[#This Row],['[Valores_cenario']]],0)</f>
        <v>26675</v>
      </c>
      <c r="P437" s="6">
        <f>IF(Tabela5[[#This Row],[Dim_Cenario'[Nome Cenario']]]=Tabela5[[#Headers],[Realizado]],Tabela5[[#This Row],['[Valores_cenario']]],0)</f>
        <v>0</v>
      </c>
    </row>
    <row r="438" hidden="1" spans="1:16">
      <c r="A438" t="s">
        <v>17</v>
      </c>
      <c r="B438" t="s">
        <v>18</v>
      </c>
      <c r="C438" t="s">
        <v>96</v>
      </c>
      <c r="D438" t="s">
        <v>14</v>
      </c>
      <c r="E438">
        <v>2021</v>
      </c>
      <c r="F438" t="s">
        <v>27</v>
      </c>
      <c r="G438" t="s">
        <v>39</v>
      </c>
      <c r="H438">
        <v>5</v>
      </c>
      <c r="I438">
        <v>26675</v>
      </c>
      <c r="J438" t="s">
        <v>36</v>
      </c>
      <c r="K438" s="3"/>
      <c r="N438" s="6">
        <f>IF(Tabela5[[#This Row],[Dim_Cenario'[Nome Cenario']]]=Tabela5[[#Headers],[INIC Atual]],Tabela5[[#This Row],['[Valores_cenario']]],0)</f>
        <v>0</v>
      </c>
      <c r="O438" s="6">
        <f>IF(Tabela5[[#This Row],[Dim_Cenario'[Nome Cenario']]]=Tabela5[[#Headers],[Revisado]],Tabela5[[#This Row],['[Valores_cenario']]],0)</f>
        <v>26675</v>
      </c>
      <c r="P438" s="6">
        <f>IF(Tabela5[[#This Row],[Dim_Cenario'[Nome Cenario']]]=Tabela5[[#Headers],[Realizado]],Tabela5[[#This Row],['[Valores_cenario']]],0)</f>
        <v>0</v>
      </c>
    </row>
    <row r="439" hidden="1" spans="1:16">
      <c r="A439" t="s">
        <v>17</v>
      </c>
      <c r="B439" t="s">
        <v>18</v>
      </c>
      <c r="C439" t="s">
        <v>96</v>
      </c>
      <c r="D439" t="s">
        <v>14</v>
      </c>
      <c r="E439">
        <v>2021</v>
      </c>
      <c r="F439" t="s">
        <v>27</v>
      </c>
      <c r="G439" t="s">
        <v>29</v>
      </c>
      <c r="H439">
        <v>6</v>
      </c>
      <c r="I439">
        <v>26675</v>
      </c>
      <c r="J439" t="s">
        <v>36</v>
      </c>
      <c r="K439" s="3"/>
      <c r="N439" s="6">
        <f>IF(Tabela5[[#This Row],[Dim_Cenario'[Nome Cenario']]]=Tabela5[[#Headers],[INIC Atual]],Tabela5[[#This Row],['[Valores_cenario']]],0)</f>
        <v>0</v>
      </c>
      <c r="O439" s="6">
        <f>IF(Tabela5[[#This Row],[Dim_Cenario'[Nome Cenario']]]=Tabela5[[#Headers],[Revisado]],Tabela5[[#This Row],['[Valores_cenario']]],0)</f>
        <v>26675</v>
      </c>
      <c r="P439" s="6">
        <f>IF(Tabela5[[#This Row],[Dim_Cenario'[Nome Cenario']]]=Tabela5[[#Headers],[Realizado]],Tabela5[[#This Row],['[Valores_cenario']]],0)</f>
        <v>0</v>
      </c>
    </row>
    <row r="440" hidden="1" spans="1:16">
      <c r="A440" t="s">
        <v>17</v>
      </c>
      <c r="B440" t="s">
        <v>18</v>
      </c>
      <c r="C440" t="s">
        <v>96</v>
      </c>
      <c r="D440" t="s">
        <v>14</v>
      </c>
      <c r="E440">
        <v>2021</v>
      </c>
      <c r="F440" t="s">
        <v>30</v>
      </c>
      <c r="G440" t="s">
        <v>40</v>
      </c>
      <c r="H440">
        <v>7</v>
      </c>
      <c r="I440">
        <v>26675</v>
      </c>
      <c r="J440" t="s">
        <v>36</v>
      </c>
      <c r="K440" s="3"/>
      <c r="N440" s="6">
        <f>IF(Tabela5[[#This Row],[Dim_Cenario'[Nome Cenario']]]=Tabela5[[#Headers],[INIC Atual]],Tabela5[[#This Row],['[Valores_cenario']]],0)</f>
        <v>0</v>
      </c>
      <c r="O440" s="6">
        <f>IF(Tabela5[[#This Row],[Dim_Cenario'[Nome Cenario']]]=Tabela5[[#Headers],[Revisado]],Tabela5[[#This Row],['[Valores_cenario']]],0)</f>
        <v>26675</v>
      </c>
      <c r="P440" s="6">
        <f>IF(Tabela5[[#This Row],[Dim_Cenario'[Nome Cenario']]]=Tabela5[[#Headers],[Realizado]],Tabela5[[#This Row],['[Valores_cenario']]],0)</f>
        <v>0</v>
      </c>
    </row>
    <row r="441" hidden="1" spans="1:16">
      <c r="A441" t="s">
        <v>17</v>
      </c>
      <c r="B441" t="s">
        <v>18</v>
      </c>
      <c r="C441" t="s">
        <v>96</v>
      </c>
      <c r="D441" t="s">
        <v>14</v>
      </c>
      <c r="E441">
        <v>2021</v>
      </c>
      <c r="F441" t="s">
        <v>30</v>
      </c>
      <c r="G441" t="s">
        <v>31</v>
      </c>
      <c r="H441">
        <v>8</v>
      </c>
      <c r="I441">
        <v>26675</v>
      </c>
      <c r="J441" t="s">
        <v>36</v>
      </c>
      <c r="K441" s="3"/>
      <c r="N441" s="6">
        <f>IF(Tabela5[[#This Row],[Dim_Cenario'[Nome Cenario']]]=Tabela5[[#Headers],[INIC Atual]],Tabela5[[#This Row],['[Valores_cenario']]],0)</f>
        <v>0</v>
      </c>
      <c r="O441" s="6">
        <f>IF(Tabela5[[#This Row],[Dim_Cenario'[Nome Cenario']]]=Tabela5[[#Headers],[Revisado]],Tabela5[[#This Row],['[Valores_cenario']]],0)</f>
        <v>26675</v>
      </c>
      <c r="P441" s="6">
        <f>IF(Tabela5[[#This Row],[Dim_Cenario'[Nome Cenario']]]=Tabela5[[#Headers],[Realizado]],Tabela5[[#This Row],['[Valores_cenario']]],0)</f>
        <v>0</v>
      </c>
    </row>
    <row r="442" hidden="1" spans="1:16">
      <c r="A442" t="s">
        <v>17</v>
      </c>
      <c r="B442" t="s">
        <v>18</v>
      </c>
      <c r="C442" t="s">
        <v>96</v>
      </c>
      <c r="D442" t="s">
        <v>14</v>
      </c>
      <c r="E442">
        <v>2021</v>
      </c>
      <c r="F442" t="s">
        <v>21</v>
      </c>
      <c r="G442" t="s">
        <v>22</v>
      </c>
      <c r="H442">
        <v>10</v>
      </c>
      <c r="I442">
        <v>39000</v>
      </c>
      <c r="J442" t="s">
        <v>36</v>
      </c>
      <c r="K442" s="3"/>
      <c r="N442" s="6">
        <f>IF(Tabela5[[#This Row],[Dim_Cenario'[Nome Cenario']]]=Tabela5[[#Headers],[INIC Atual]],Tabela5[[#This Row],['[Valores_cenario']]],0)</f>
        <v>0</v>
      </c>
      <c r="O442" s="6">
        <f>IF(Tabela5[[#This Row],[Dim_Cenario'[Nome Cenario']]]=Tabela5[[#Headers],[Revisado]],Tabela5[[#This Row],['[Valores_cenario']]],0)</f>
        <v>39000</v>
      </c>
      <c r="P442" s="6">
        <f>IF(Tabela5[[#This Row],[Dim_Cenario'[Nome Cenario']]]=Tabela5[[#Headers],[Realizado]],Tabela5[[#This Row],['[Valores_cenario']]],0)</f>
        <v>0</v>
      </c>
    </row>
    <row r="443" hidden="1" spans="1:16">
      <c r="A443" t="s">
        <v>97</v>
      </c>
      <c r="B443" t="s">
        <v>18</v>
      </c>
      <c r="C443" t="s">
        <v>98</v>
      </c>
      <c r="D443" t="s">
        <v>14</v>
      </c>
      <c r="E443">
        <v>2019</v>
      </c>
      <c r="F443" t="s">
        <v>25</v>
      </c>
      <c r="G443" t="s">
        <v>35</v>
      </c>
      <c r="H443">
        <v>1</v>
      </c>
      <c r="I443">
        <v>31500</v>
      </c>
      <c r="J443" t="s">
        <v>36</v>
      </c>
      <c r="K443" s="3"/>
      <c r="N443" s="6">
        <f>IF(Tabela5[[#This Row],[Dim_Cenario'[Nome Cenario']]]=Tabela5[[#Headers],[INIC Atual]],Tabela5[[#This Row],['[Valores_cenario']]],0)</f>
        <v>0</v>
      </c>
      <c r="O443" s="6">
        <f>IF(Tabela5[[#This Row],[Dim_Cenario'[Nome Cenario']]]=Tabela5[[#Headers],[Revisado]],Tabela5[[#This Row],['[Valores_cenario']]],0)</f>
        <v>31500</v>
      </c>
      <c r="P443" s="6">
        <f>IF(Tabela5[[#This Row],[Dim_Cenario'[Nome Cenario']]]=Tabela5[[#Headers],[Realizado]],Tabela5[[#This Row],['[Valores_cenario']]],0)</f>
        <v>0</v>
      </c>
    </row>
    <row r="444" hidden="1" spans="1:16">
      <c r="A444" t="s">
        <v>97</v>
      </c>
      <c r="B444" t="s">
        <v>18</v>
      </c>
      <c r="C444" t="s">
        <v>98</v>
      </c>
      <c r="D444" t="s">
        <v>14</v>
      </c>
      <c r="E444">
        <v>2019</v>
      </c>
      <c r="F444" t="s">
        <v>25</v>
      </c>
      <c r="G444" t="s">
        <v>26</v>
      </c>
      <c r="H444">
        <v>2</v>
      </c>
      <c r="I444">
        <v>24000</v>
      </c>
      <c r="J444" t="s">
        <v>36</v>
      </c>
      <c r="K444" s="3"/>
      <c r="N444" s="6">
        <f>IF(Tabela5[[#This Row],[Dim_Cenario'[Nome Cenario']]]=Tabela5[[#Headers],[INIC Atual]],Tabela5[[#This Row],['[Valores_cenario']]],0)</f>
        <v>0</v>
      </c>
      <c r="O444" s="6">
        <f>IF(Tabela5[[#This Row],[Dim_Cenario'[Nome Cenario']]]=Tabela5[[#Headers],[Revisado]],Tabela5[[#This Row],['[Valores_cenario']]],0)</f>
        <v>24000</v>
      </c>
      <c r="P444" s="6">
        <f>IF(Tabela5[[#This Row],[Dim_Cenario'[Nome Cenario']]]=Tabela5[[#Headers],[Realizado]],Tabela5[[#This Row],['[Valores_cenario']]],0)</f>
        <v>0</v>
      </c>
    </row>
    <row r="445" hidden="1" spans="1:16">
      <c r="A445" t="s">
        <v>97</v>
      </c>
      <c r="B445" t="s">
        <v>18</v>
      </c>
      <c r="C445" t="s">
        <v>98</v>
      </c>
      <c r="D445" t="s">
        <v>14</v>
      </c>
      <c r="E445">
        <v>2019</v>
      </c>
      <c r="F445" t="s">
        <v>25</v>
      </c>
      <c r="G445" t="s">
        <v>38</v>
      </c>
      <c r="H445">
        <v>3</v>
      </c>
      <c r="I445">
        <v>43980</v>
      </c>
      <c r="J445" t="s">
        <v>36</v>
      </c>
      <c r="K445" s="3"/>
      <c r="N445" s="6">
        <f>IF(Tabela5[[#This Row],[Dim_Cenario'[Nome Cenario']]]=Tabela5[[#Headers],[INIC Atual]],Tabela5[[#This Row],['[Valores_cenario']]],0)</f>
        <v>0</v>
      </c>
      <c r="O445" s="6">
        <f>IF(Tabela5[[#This Row],[Dim_Cenario'[Nome Cenario']]]=Tabela5[[#Headers],[Revisado]],Tabela5[[#This Row],['[Valores_cenario']]],0)</f>
        <v>43980</v>
      </c>
      <c r="P445" s="6">
        <f>IF(Tabela5[[#This Row],[Dim_Cenario'[Nome Cenario']]]=Tabela5[[#Headers],[Realizado]],Tabela5[[#This Row],['[Valores_cenario']]],0)</f>
        <v>0</v>
      </c>
    </row>
    <row r="446" hidden="1" spans="1:16">
      <c r="A446" t="s">
        <v>97</v>
      </c>
      <c r="B446" t="s">
        <v>18</v>
      </c>
      <c r="C446" t="s">
        <v>98</v>
      </c>
      <c r="D446" t="s">
        <v>14</v>
      </c>
      <c r="E446">
        <v>2019</v>
      </c>
      <c r="F446" t="s">
        <v>27</v>
      </c>
      <c r="G446" t="s">
        <v>28</v>
      </c>
      <c r="H446">
        <v>4</v>
      </c>
      <c r="I446">
        <v>115860</v>
      </c>
      <c r="J446" t="s">
        <v>36</v>
      </c>
      <c r="K446" s="3"/>
      <c r="N446" s="6">
        <f>IF(Tabela5[[#This Row],[Dim_Cenario'[Nome Cenario']]]=Tabela5[[#Headers],[INIC Atual]],Tabela5[[#This Row],['[Valores_cenario']]],0)</f>
        <v>0</v>
      </c>
      <c r="O446" s="6">
        <f>IF(Tabela5[[#This Row],[Dim_Cenario'[Nome Cenario']]]=Tabela5[[#Headers],[Revisado]],Tabela5[[#This Row],['[Valores_cenario']]],0)</f>
        <v>115860</v>
      </c>
      <c r="P446" s="6">
        <f>IF(Tabela5[[#This Row],[Dim_Cenario'[Nome Cenario']]]=Tabela5[[#Headers],[Realizado]],Tabela5[[#This Row],['[Valores_cenario']]],0)</f>
        <v>0</v>
      </c>
    </row>
    <row r="447" hidden="1" spans="1:16">
      <c r="A447" t="s">
        <v>97</v>
      </c>
      <c r="B447" t="s">
        <v>18</v>
      </c>
      <c r="C447" t="s">
        <v>98</v>
      </c>
      <c r="D447" t="s">
        <v>14</v>
      </c>
      <c r="E447">
        <v>2019</v>
      </c>
      <c r="F447" t="s">
        <v>27</v>
      </c>
      <c r="G447" t="s">
        <v>39</v>
      </c>
      <c r="H447">
        <v>5</v>
      </c>
      <c r="I447">
        <v>40380</v>
      </c>
      <c r="J447" t="s">
        <v>36</v>
      </c>
      <c r="K447" s="3"/>
      <c r="N447" s="6">
        <f>IF(Tabela5[[#This Row],[Dim_Cenario'[Nome Cenario']]]=Tabela5[[#Headers],[INIC Atual]],Tabela5[[#This Row],['[Valores_cenario']]],0)</f>
        <v>0</v>
      </c>
      <c r="O447" s="6">
        <f>IF(Tabela5[[#This Row],[Dim_Cenario'[Nome Cenario']]]=Tabela5[[#Headers],[Revisado]],Tabela5[[#This Row],['[Valores_cenario']]],0)</f>
        <v>40380</v>
      </c>
      <c r="P447" s="6">
        <f>IF(Tabela5[[#This Row],[Dim_Cenario'[Nome Cenario']]]=Tabela5[[#Headers],[Realizado]],Tabela5[[#This Row],['[Valores_cenario']]],0)</f>
        <v>0</v>
      </c>
    </row>
    <row r="448" hidden="1" spans="1:16">
      <c r="A448" t="s">
        <v>97</v>
      </c>
      <c r="B448" t="s">
        <v>18</v>
      </c>
      <c r="C448" t="s">
        <v>98</v>
      </c>
      <c r="D448" t="s">
        <v>14</v>
      </c>
      <c r="E448">
        <v>2019</v>
      </c>
      <c r="F448" t="s">
        <v>27</v>
      </c>
      <c r="G448" t="s">
        <v>29</v>
      </c>
      <c r="H448">
        <v>6</v>
      </c>
      <c r="I448">
        <v>16510</v>
      </c>
      <c r="J448" t="s">
        <v>36</v>
      </c>
      <c r="K448" s="3"/>
      <c r="N448" s="6">
        <f>IF(Tabela5[[#This Row],[Dim_Cenario'[Nome Cenario']]]=Tabela5[[#Headers],[INIC Atual]],Tabela5[[#This Row],['[Valores_cenario']]],0)</f>
        <v>0</v>
      </c>
      <c r="O448" s="6">
        <f>IF(Tabela5[[#This Row],[Dim_Cenario'[Nome Cenario']]]=Tabela5[[#Headers],[Revisado]],Tabela5[[#This Row],['[Valores_cenario']]],0)</f>
        <v>16510</v>
      </c>
      <c r="P448" s="6">
        <f>IF(Tabela5[[#This Row],[Dim_Cenario'[Nome Cenario']]]=Tabela5[[#Headers],[Realizado]],Tabela5[[#This Row],['[Valores_cenario']]],0)</f>
        <v>0</v>
      </c>
    </row>
    <row r="449" hidden="1" spans="1:16">
      <c r="A449" t="s">
        <v>97</v>
      </c>
      <c r="B449" t="s">
        <v>18</v>
      </c>
      <c r="C449" t="s">
        <v>98</v>
      </c>
      <c r="D449" t="s">
        <v>14</v>
      </c>
      <c r="E449">
        <v>2019</v>
      </c>
      <c r="F449" t="s">
        <v>30</v>
      </c>
      <c r="G449" t="s">
        <v>40</v>
      </c>
      <c r="H449">
        <v>7</v>
      </c>
      <c r="I449">
        <v>31500</v>
      </c>
      <c r="J449" t="s">
        <v>36</v>
      </c>
      <c r="K449" s="3"/>
      <c r="N449" s="6">
        <f>IF(Tabela5[[#This Row],[Dim_Cenario'[Nome Cenario']]]=Tabela5[[#Headers],[INIC Atual]],Tabela5[[#This Row],['[Valores_cenario']]],0)</f>
        <v>0</v>
      </c>
      <c r="O449" s="6">
        <f>IF(Tabela5[[#This Row],[Dim_Cenario'[Nome Cenario']]]=Tabela5[[#Headers],[Revisado]],Tabela5[[#This Row],['[Valores_cenario']]],0)</f>
        <v>31500</v>
      </c>
      <c r="P449" s="6">
        <f>IF(Tabela5[[#This Row],[Dim_Cenario'[Nome Cenario']]]=Tabela5[[#Headers],[Realizado]],Tabela5[[#This Row],['[Valores_cenario']]],0)</f>
        <v>0</v>
      </c>
    </row>
    <row r="450" hidden="1" spans="1:16">
      <c r="A450" t="s">
        <v>97</v>
      </c>
      <c r="B450" t="s">
        <v>18</v>
      </c>
      <c r="C450" t="s">
        <v>98</v>
      </c>
      <c r="D450" t="s">
        <v>14</v>
      </c>
      <c r="E450">
        <v>2019</v>
      </c>
      <c r="F450" t="s">
        <v>30</v>
      </c>
      <c r="G450" t="s">
        <v>31</v>
      </c>
      <c r="H450">
        <v>8</v>
      </c>
      <c r="I450">
        <v>24900</v>
      </c>
      <c r="J450" t="s">
        <v>36</v>
      </c>
      <c r="K450" s="3"/>
      <c r="N450" s="6">
        <f>IF(Tabela5[[#This Row],[Dim_Cenario'[Nome Cenario']]]=Tabela5[[#Headers],[INIC Atual]],Tabela5[[#This Row],['[Valores_cenario']]],0)</f>
        <v>0</v>
      </c>
      <c r="O450" s="6">
        <f>IF(Tabela5[[#This Row],[Dim_Cenario'[Nome Cenario']]]=Tabela5[[#Headers],[Revisado]],Tabela5[[#This Row],['[Valores_cenario']]],0)</f>
        <v>24900</v>
      </c>
      <c r="P450" s="6">
        <f>IF(Tabela5[[#This Row],[Dim_Cenario'[Nome Cenario']]]=Tabela5[[#Headers],[Realizado]],Tabela5[[#This Row],['[Valores_cenario']]],0)</f>
        <v>0</v>
      </c>
    </row>
    <row r="451" hidden="1" spans="1:16">
      <c r="A451" t="s">
        <v>97</v>
      </c>
      <c r="B451" t="s">
        <v>18</v>
      </c>
      <c r="C451" t="s">
        <v>98</v>
      </c>
      <c r="D451" t="s">
        <v>14</v>
      </c>
      <c r="E451">
        <v>2019</v>
      </c>
      <c r="F451" t="s">
        <v>30</v>
      </c>
      <c r="G451" t="s">
        <v>41</v>
      </c>
      <c r="H451">
        <v>9</v>
      </c>
      <c r="I451">
        <v>6520</v>
      </c>
      <c r="J451" t="s">
        <v>36</v>
      </c>
      <c r="K451" s="3"/>
      <c r="N451" s="6">
        <f>IF(Tabela5[[#This Row],[Dim_Cenario'[Nome Cenario']]]=Tabela5[[#Headers],[INIC Atual]],Tabela5[[#This Row],['[Valores_cenario']]],0)</f>
        <v>0</v>
      </c>
      <c r="O451" s="6">
        <f>IF(Tabela5[[#This Row],[Dim_Cenario'[Nome Cenario']]]=Tabela5[[#Headers],[Revisado]],Tabela5[[#This Row],['[Valores_cenario']]],0)</f>
        <v>6520</v>
      </c>
      <c r="P451" s="6">
        <f>IF(Tabela5[[#This Row],[Dim_Cenario'[Nome Cenario']]]=Tabela5[[#Headers],[Realizado]],Tabela5[[#This Row],['[Valores_cenario']]],0)</f>
        <v>0</v>
      </c>
    </row>
    <row r="452" hidden="1" spans="1:16">
      <c r="A452" t="s">
        <v>97</v>
      </c>
      <c r="B452" t="s">
        <v>18</v>
      </c>
      <c r="C452" t="s">
        <v>98</v>
      </c>
      <c r="D452" t="s">
        <v>14</v>
      </c>
      <c r="E452">
        <v>2019</v>
      </c>
      <c r="F452" t="s">
        <v>21</v>
      </c>
      <c r="G452" t="s">
        <v>22</v>
      </c>
      <c r="H452">
        <v>10</v>
      </c>
      <c r="I452">
        <v>29460</v>
      </c>
      <c r="J452" t="s">
        <v>36</v>
      </c>
      <c r="K452" s="3"/>
      <c r="N452" s="6">
        <f>IF(Tabela5[[#This Row],[Dim_Cenario'[Nome Cenario']]]=Tabela5[[#Headers],[INIC Atual]],Tabela5[[#This Row],['[Valores_cenario']]],0)</f>
        <v>0</v>
      </c>
      <c r="O452" s="6">
        <f>IF(Tabela5[[#This Row],[Dim_Cenario'[Nome Cenario']]]=Tabela5[[#Headers],[Revisado]],Tabela5[[#This Row],['[Valores_cenario']]],0)</f>
        <v>29460</v>
      </c>
      <c r="P452" s="6">
        <f>IF(Tabela5[[#This Row],[Dim_Cenario'[Nome Cenario']]]=Tabela5[[#Headers],[Realizado]],Tabela5[[#This Row],['[Valores_cenario']]],0)</f>
        <v>0</v>
      </c>
    </row>
    <row r="453" hidden="1" spans="1:16">
      <c r="A453" t="s">
        <v>97</v>
      </c>
      <c r="B453" t="s">
        <v>18</v>
      </c>
      <c r="C453" t="s">
        <v>98</v>
      </c>
      <c r="D453" t="s">
        <v>14</v>
      </c>
      <c r="E453">
        <v>2019</v>
      </c>
      <c r="F453" t="s">
        <v>21</v>
      </c>
      <c r="G453" t="s">
        <v>24</v>
      </c>
      <c r="H453">
        <v>11</v>
      </c>
      <c r="I453">
        <v>14920</v>
      </c>
      <c r="J453" t="s">
        <v>36</v>
      </c>
      <c r="K453" s="3"/>
      <c r="N453" s="6">
        <f>IF(Tabela5[[#This Row],[Dim_Cenario'[Nome Cenario']]]=Tabela5[[#Headers],[INIC Atual]],Tabela5[[#This Row],['[Valores_cenario']]],0)</f>
        <v>0</v>
      </c>
      <c r="O453" s="6">
        <f>IF(Tabela5[[#This Row],[Dim_Cenario'[Nome Cenario']]]=Tabela5[[#Headers],[Revisado]],Tabela5[[#This Row],['[Valores_cenario']]],0)</f>
        <v>14920</v>
      </c>
      <c r="P453" s="6">
        <f>IF(Tabela5[[#This Row],[Dim_Cenario'[Nome Cenario']]]=Tabela5[[#Headers],[Realizado]],Tabela5[[#This Row],['[Valores_cenario']]],0)</f>
        <v>0</v>
      </c>
    </row>
    <row r="454" hidden="1" spans="1:16">
      <c r="A454" t="s">
        <v>97</v>
      </c>
      <c r="B454" t="s">
        <v>18</v>
      </c>
      <c r="C454" t="s">
        <v>98</v>
      </c>
      <c r="D454" t="s">
        <v>14</v>
      </c>
      <c r="E454">
        <v>2019</v>
      </c>
      <c r="F454" t="s">
        <v>21</v>
      </c>
      <c r="G454" t="s">
        <v>32</v>
      </c>
      <c r="H454">
        <v>12</v>
      </c>
      <c r="I454">
        <v>14920</v>
      </c>
      <c r="J454" t="s">
        <v>36</v>
      </c>
      <c r="K454" s="3"/>
      <c r="N454" s="6">
        <f>IF(Tabela5[[#This Row],[Dim_Cenario'[Nome Cenario']]]=Tabela5[[#Headers],[INIC Atual]],Tabela5[[#This Row],['[Valores_cenario']]],0)</f>
        <v>0</v>
      </c>
      <c r="O454" s="6">
        <f>IF(Tabela5[[#This Row],[Dim_Cenario'[Nome Cenario']]]=Tabela5[[#Headers],[Revisado]],Tabela5[[#This Row],['[Valores_cenario']]],0)</f>
        <v>14920</v>
      </c>
      <c r="P454" s="6">
        <f>IF(Tabela5[[#This Row],[Dim_Cenario'[Nome Cenario']]]=Tabela5[[#Headers],[Realizado]],Tabela5[[#This Row],['[Valores_cenario']]],0)</f>
        <v>0</v>
      </c>
    </row>
    <row r="455" hidden="1" spans="1:16">
      <c r="A455" t="s">
        <v>97</v>
      </c>
      <c r="B455" t="s">
        <v>18</v>
      </c>
      <c r="C455" t="s">
        <v>98</v>
      </c>
      <c r="D455" t="s">
        <v>14</v>
      </c>
      <c r="E455">
        <v>2020</v>
      </c>
      <c r="F455" t="s">
        <v>25</v>
      </c>
      <c r="G455" t="s">
        <v>38</v>
      </c>
      <c r="H455">
        <v>3</v>
      </c>
      <c r="I455">
        <v>5689.32</v>
      </c>
      <c r="J455" t="s">
        <v>36</v>
      </c>
      <c r="K455" s="3"/>
      <c r="N455" s="6">
        <f>IF(Tabela5[[#This Row],[Dim_Cenario'[Nome Cenario']]]=Tabela5[[#Headers],[INIC Atual]],Tabela5[[#This Row],['[Valores_cenario']]],0)</f>
        <v>0</v>
      </c>
      <c r="O455" s="6">
        <f>IF(Tabela5[[#This Row],[Dim_Cenario'[Nome Cenario']]]=Tabela5[[#Headers],[Revisado]],Tabela5[[#This Row],['[Valores_cenario']]],0)</f>
        <v>5689.32</v>
      </c>
      <c r="P455" s="6">
        <f>IF(Tabela5[[#This Row],[Dim_Cenario'[Nome Cenario']]]=Tabela5[[#Headers],[Realizado]],Tabela5[[#This Row],['[Valores_cenario']]],0)</f>
        <v>0</v>
      </c>
    </row>
    <row r="456" hidden="1" spans="1:16">
      <c r="A456" t="s">
        <v>97</v>
      </c>
      <c r="B456" t="s">
        <v>18</v>
      </c>
      <c r="C456" t="s">
        <v>98</v>
      </c>
      <c r="D456" t="s">
        <v>14</v>
      </c>
      <c r="E456">
        <v>2020</v>
      </c>
      <c r="F456" t="s">
        <v>27</v>
      </c>
      <c r="G456" t="s">
        <v>28</v>
      </c>
      <c r="H456">
        <v>4</v>
      </c>
      <c r="I456">
        <v>11378.64</v>
      </c>
      <c r="J456" t="s">
        <v>36</v>
      </c>
      <c r="K456" s="3"/>
      <c r="N456" s="6">
        <f>IF(Tabela5[[#This Row],[Dim_Cenario'[Nome Cenario']]]=Tabela5[[#Headers],[INIC Atual]],Tabela5[[#This Row],['[Valores_cenario']]],0)</f>
        <v>0</v>
      </c>
      <c r="O456" s="6">
        <f>IF(Tabela5[[#This Row],[Dim_Cenario'[Nome Cenario']]]=Tabela5[[#Headers],[Revisado]],Tabela5[[#This Row],['[Valores_cenario']]],0)</f>
        <v>11378.64</v>
      </c>
      <c r="P456" s="6">
        <f>IF(Tabela5[[#This Row],[Dim_Cenario'[Nome Cenario']]]=Tabela5[[#Headers],[Realizado]],Tabela5[[#This Row],['[Valores_cenario']]],0)</f>
        <v>0</v>
      </c>
    </row>
    <row r="457" hidden="1" spans="1:16">
      <c r="A457" t="s">
        <v>97</v>
      </c>
      <c r="B457" t="s">
        <v>18</v>
      </c>
      <c r="C457" t="s">
        <v>98</v>
      </c>
      <c r="D457" t="s">
        <v>14</v>
      </c>
      <c r="E457">
        <v>2020</v>
      </c>
      <c r="F457" t="s">
        <v>27</v>
      </c>
      <c r="G457" t="s">
        <v>39</v>
      </c>
      <c r="H457">
        <v>5</v>
      </c>
      <c r="I457">
        <v>5689.32</v>
      </c>
      <c r="J457" t="s">
        <v>36</v>
      </c>
      <c r="K457" s="3"/>
      <c r="N457" s="6">
        <f>IF(Tabela5[[#This Row],[Dim_Cenario'[Nome Cenario']]]=Tabela5[[#Headers],[INIC Atual]],Tabela5[[#This Row],['[Valores_cenario']]],0)</f>
        <v>0</v>
      </c>
      <c r="O457" s="6">
        <f>IF(Tabela5[[#This Row],[Dim_Cenario'[Nome Cenario']]]=Tabela5[[#Headers],[Revisado]],Tabela5[[#This Row],['[Valores_cenario']]],0)</f>
        <v>5689.32</v>
      </c>
      <c r="P457" s="6">
        <f>IF(Tabela5[[#This Row],[Dim_Cenario'[Nome Cenario']]]=Tabela5[[#Headers],[Realizado]],Tabela5[[#This Row],['[Valores_cenario']]],0)</f>
        <v>0</v>
      </c>
    </row>
    <row r="458" hidden="1" spans="1:16">
      <c r="A458" t="s">
        <v>97</v>
      </c>
      <c r="B458" t="s">
        <v>18</v>
      </c>
      <c r="C458" t="s">
        <v>98</v>
      </c>
      <c r="D458" t="s">
        <v>14</v>
      </c>
      <c r="E458">
        <v>2020</v>
      </c>
      <c r="F458" t="s">
        <v>27</v>
      </c>
      <c r="G458" t="s">
        <v>29</v>
      </c>
      <c r="H458">
        <v>6</v>
      </c>
      <c r="I458">
        <v>22347.72</v>
      </c>
      <c r="J458" t="s">
        <v>36</v>
      </c>
      <c r="K458" s="3"/>
      <c r="N458" s="6">
        <f>IF(Tabela5[[#This Row],[Dim_Cenario'[Nome Cenario']]]=Tabela5[[#Headers],[INIC Atual]],Tabela5[[#This Row],['[Valores_cenario']]],0)</f>
        <v>0</v>
      </c>
      <c r="O458" s="6">
        <f>IF(Tabela5[[#This Row],[Dim_Cenario'[Nome Cenario']]]=Tabela5[[#Headers],[Revisado]],Tabela5[[#This Row],['[Valores_cenario']]],0)</f>
        <v>22347.72</v>
      </c>
      <c r="P458" s="6">
        <f>IF(Tabela5[[#This Row],[Dim_Cenario'[Nome Cenario']]]=Tabela5[[#Headers],[Realizado]],Tabela5[[#This Row],['[Valores_cenario']]],0)</f>
        <v>0</v>
      </c>
    </row>
    <row r="459" hidden="1" spans="1:16">
      <c r="A459" t="s">
        <v>97</v>
      </c>
      <c r="B459" t="s">
        <v>18</v>
      </c>
      <c r="C459" t="s">
        <v>98</v>
      </c>
      <c r="D459" t="s">
        <v>14</v>
      </c>
      <c r="E459">
        <v>2020</v>
      </c>
      <c r="F459" t="s">
        <v>30</v>
      </c>
      <c r="G459" t="s">
        <v>31</v>
      </c>
      <c r="H459">
        <v>8</v>
      </c>
      <c r="I459">
        <v>5689.32</v>
      </c>
      <c r="J459" t="s">
        <v>36</v>
      </c>
      <c r="K459" s="3"/>
      <c r="N459" s="6">
        <f>IF(Tabela5[[#This Row],[Dim_Cenario'[Nome Cenario']]]=Tabela5[[#Headers],[INIC Atual]],Tabela5[[#This Row],['[Valores_cenario']]],0)</f>
        <v>0</v>
      </c>
      <c r="O459" s="6">
        <f>IF(Tabela5[[#This Row],[Dim_Cenario'[Nome Cenario']]]=Tabela5[[#Headers],[Revisado]],Tabela5[[#This Row],['[Valores_cenario']]],0)</f>
        <v>5689.32</v>
      </c>
      <c r="P459" s="6">
        <f>IF(Tabela5[[#This Row],[Dim_Cenario'[Nome Cenario']]]=Tabela5[[#Headers],[Realizado]],Tabela5[[#This Row],['[Valores_cenario']]],0)</f>
        <v>0</v>
      </c>
    </row>
    <row r="460" hidden="1" spans="1:16">
      <c r="A460" t="s">
        <v>97</v>
      </c>
      <c r="B460" t="s">
        <v>18</v>
      </c>
      <c r="C460" t="s">
        <v>98</v>
      </c>
      <c r="D460" t="s">
        <v>14</v>
      </c>
      <c r="E460">
        <v>2020</v>
      </c>
      <c r="F460" t="s">
        <v>30</v>
      </c>
      <c r="G460" t="s">
        <v>41</v>
      </c>
      <c r="H460">
        <v>9</v>
      </c>
      <c r="I460">
        <v>2313.18</v>
      </c>
      <c r="J460" t="s">
        <v>36</v>
      </c>
      <c r="K460" s="3"/>
      <c r="N460" s="6">
        <f>IF(Tabela5[[#This Row],[Dim_Cenario'[Nome Cenario']]]=Tabela5[[#Headers],[INIC Atual]],Tabela5[[#This Row],['[Valores_cenario']]],0)</f>
        <v>0</v>
      </c>
      <c r="O460" s="6">
        <f>IF(Tabela5[[#This Row],[Dim_Cenario'[Nome Cenario']]]=Tabela5[[#Headers],[Revisado]],Tabela5[[#This Row],['[Valores_cenario']]],0)</f>
        <v>2313.18</v>
      </c>
      <c r="P460" s="6">
        <f>IF(Tabela5[[#This Row],[Dim_Cenario'[Nome Cenario']]]=Tabela5[[#Headers],[Realizado]],Tabela5[[#This Row],['[Valores_cenario']]],0)</f>
        <v>0</v>
      </c>
    </row>
    <row r="461" hidden="1" spans="1:16">
      <c r="A461" t="s">
        <v>97</v>
      </c>
      <c r="B461" t="s">
        <v>18</v>
      </c>
      <c r="C461" t="s">
        <v>98</v>
      </c>
      <c r="D461" t="s">
        <v>14</v>
      </c>
      <c r="E461">
        <v>2021</v>
      </c>
      <c r="F461" t="s">
        <v>25</v>
      </c>
      <c r="G461" t="s">
        <v>38</v>
      </c>
      <c r="H461">
        <v>3</v>
      </c>
      <c r="I461">
        <v>8892.4</v>
      </c>
      <c r="J461" t="s">
        <v>36</v>
      </c>
      <c r="K461" s="3"/>
      <c r="N461" s="6">
        <f>IF(Tabela5[[#This Row],[Dim_Cenario'[Nome Cenario']]]=Tabela5[[#Headers],[INIC Atual]],Tabela5[[#This Row],['[Valores_cenario']]],0)</f>
        <v>0</v>
      </c>
      <c r="O461" s="6">
        <f>IF(Tabela5[[#This Row],[Dim_Cenario'[Nome Cenario']]]=Tabela5[[#Headers],[Revisado]],Tabela5[[#This Row],['[Valores_cenario']]],0)</f>
        <v>8892.4</v>
      </c>
      <c r="P461" s="6">
        <f>IF(Tabela5[[#This Row],[Dim_Cenario'[Nome Cenario']]]=Tabela5[[#Headers],[Realizado]],Tabela5[[#This Row],['[Valores_cenario']]],0)</f>
        <v>0</v>
      </c>
    </row>
    <row r="462" hidden="1" spans="1:16">
      <c r="A462" t="s">
        <v>97</v>
      </c>
      <c r="B462" t="s">
        <v>18</v>
      </c>
      <c r="C462" t="s">
        <v>98</v>
      </c>
      <c r="D462" t="s">
        <v>14</v>
      </c>
      <c r="E462">
        <v>2021</v>
      </c>
      <c r="F462" t="s">
        <v>27</v>
      </c>
      <c r="G462" t="s">
        <v>28</v>
      </c>
      <c r="H462">
        <v>4</v>
      </c>
      <c r="I462">
        <v>8892.4</v>
      </c>
      <c r="J462" t="s">
        <v>36</v>
      </c>
      <c r="K462" s="3"/>
      <c r="N462" s="6">
        <f>IF(Tabela5[[#This Row],[Dim_Cenario'[Nome Cenario']]]=Tabela5[[#Headers],[INIC Atual]],Tabela5[[#This Row],['[Valores_cenario']]],0)</f>
        <v>0</v>
      </c>
      <c r="O462" s="6">
        <f>IF(Tabela5[[#This Row],[Dim_Cenario'[Nome Cenario']]]=Tabela5[[#Headers],[Revisado]],Tabela5[[#This Row],['[Valores_cenario']]],0)</f>
        <v>8892.4</v>
      </c>
      <c r="P462" s="6">
        <f>IF(Tabela5[[#This Row],[Dim_Cenario'[Nome Cenario']]]=Tabela5[[#Headers],[Realizado]],Tabela5[[#This Row],['[Valores_cenario']]],0)</f>
        <v>0</v>
      </c>
    </row>
    <row r="463" hidden="1" spans="1:16">
      <c r="A463" t="s">
        <v>97</v>
      </c>
      <c r="B463" t="s">
        <v>18</v>
      </c>
      <c r="C463" t="s">
        <v>98</v>
      </c>
      <c r="D463" t="s">
        <v>14</v>
      </c>
      <c r="E463">
        <v>2021</v>
      </c>
      <c r="F463" t="s">
        <v>27</v>
      </c>
      <c r="G463" t="s">
        <v>39</v>
      </c>
      <c r="H463">
        <v>5</v>
      </c>
      <c r="I463">
        <v>8892.4</v>
      </c>
      <c r="J463" t="s">
        <v>36</v>
      </c>
      <c r="K463" s="3"/>
      <c r="N463" s="6">
        <f>IF(Tabela5[[#This Row],[Dim_Cenario'[Nome Cenario']]]=Tabela5[[#Headers],[INIC Atual]],Tabela5[[#This Row],['[Valores_cenario']]],0)</f>
        <v>0</v>
      </c>
      <c r="O463" s="6">
        <f>IF(Tabela5[[#This Row],[Dim_Cenario'[Nome Cenario']]]=Tabela5[[#Headers],[Revisado]],Tabela5[[#This Row],['[Valores_cenario']]],0)</f>
        <v>8892.4</v>
      </c>
      <c r="P463" s="6">
        <f>IF(Tabela5[[#This Row],[Dim_Cenario'[Nome Cenario']]]=Tabela5[[#Headers],[Realizado]],Tabela5[[#This Row],['[Valores_cenario']]],0)</f>
        <v>0</v>
      </c>
    </row>
    <row r="464" hidden="1" spans="1:16">
      <c r="A464" t="s">
        <v>97</v>
      </c>
      <c r="B464" t="s">
        <v>18</v>
      </c>
      <c r="C464" t="s">
        <v>98</v>
      </c>
      <c r="D464" t="s">
        <v>14</v>
      </c>
      <c r="E464">
        <v>2021</v>
      </c>
      <c r="F464" t="s">
        <v>27</v>
      </c>
      <c r="G464" t="s">
        <v>29</v>
      </c>
      <c r="H464">
        <v>6</v>
      </c>
      <c r="I464">
        <v>8892.4</v>
      </c>
      <c r="J464" t="s">
        <v>36</v>
      </c>
      <c r="K464" s="3"/>
      <c r="N464" s="6">
        <f>IF(Tabela5[[#This Row],[Dim_Cenario'[Nome Cenario']]]=Tabela5[[#Headers],[INIC Atual]],Tabela5[[#This Row],['[Valores_cenario']]],0)</f>
        <v>0</v>
      </c>
      <c r="O464" s="6">
        <f>IF(Tabela5[[#This Row],[Dim_Cenario'[Nome Cenario']]]=Tabela5[[#Headers],[Revisado]],Tabela5[[#This Row],['[Valores_cenario']]],0)</f>
        <v>8892.4</v>
      </c>
      <c r="P464" s="6">
        <f>IF(Tabela5[[#This Row],[Dim_Cenario'[Nome Cenario']]]=Tabela5[[#Headers],[Realizado]],Tabela5[[#This Row],['[Valores_cenario']]],0)</f>
        <v>0</v>
      </c>
    </row>
    <row r="465" hidden="1" spans="1:16">
      <c r="A465" t="s">
        <v>97</v>
      </c>
      <c r="B465" t="s">
        <v>18</v>
      </c>
      <c r="C465" t="s">
        <v>98</v>
      </c>
      <c r="D465" t="s">
        <v>14</v>
      </c>
      <c r="E465">
        <v>2021</v>
      </c>
      <c r="F465" t="s">
        <v>30</v>
      </c>
      <c r="G465" t="s">
        <v>40</v>
      </c>
      <c r="H465">
        <v>7</v>
      </c>
      <c r="I465">
        <v>17784.81</v>
      </c>
      <c r="J465" t="s">
        <v>36</v>
      </c>
      <c r="K465" s="3"/>
      <c r="N465" s="6">
        <f>IF(Tabela5[[#This Row],[Dim_Cenario'[Nome Cenario']]]=Tabela5[[#Headers],[INIC Atual]],Tabela5[[#This Row],['[Valores_cenario']]],0)</f>
        <v>0</v>
      </c>
      <c r="O465" s="6">
        <f>IF(Tabela5[[#This Row],[Dim_Cenario'[Nome Cenario']]]=Tabela5[[#Headers],[Revisado]],Tabela5[[#This Row],['[Valores_cenario']]],0)</f>
        <v>17784.81</v>
      </c>
      <c r="P465" s="6">
        <f>IF(Tabela5[[#This Row],[Dim_Cenario'[Nome Cenario']]]=Tabela5[[#Headers],[Realizado]],Tabela5[[#This Row],['[Valores_cenario']]],0)</f>
        <v>0</v>
      </c>
    </row>
    <row r="466" hidden="1" spans="1:16">
      <c r="A466" t="s">
        <v>97</v>
      </c>
      <c r="B466" t="s">
        <v>18</v>
      </c>
      <c r="C466" t="s">
        <v>98</v>
      </c>
      <c r="D466" t="s">
        <v>14</v>
      </c>
      <c r="E466">
        <v>2021</v>
      </c>
      <c r="F466" t="s">
        <v>30</v>
      </c>
      <c r="G466" t="s">
        <v>31</v>
      </c>
      <c r="H466">
        <v>8</v>
      </c>
      <c r="I466">
        <v>17784.81</v>
      </c>
      <c r="J466" t="s">
        <v>36</v>
      </c>
      <c r="K466" s="3"/>
      <c r="N466" s="6">
        <f>IF(Tabela5[[#This Row],[Dim_Cenario'[Nome Cenario']]]=Tabela5[[#Headers],[INIC Atual]],Tabela5[[#This Row],['[Valores_cenario']]],0)</f>
        <v>0</v>
      </c>
      <c r="O466" s="6">
        <f>IF(Tabela5[[#This Row],[Dim_Cenario'[Nome Cenario']]]=Tabela5[[#Headers],[Revisado]],Tabela5[[#This Row],['[Valores_cenario']]],0)</f>
        <v>17784.81</v>
      </c>
      <c r="P466" s="6">
        <f>IF(Tabela5[[#This Row],[Dim_Cenario'[Nome Cenario']]]=Tabela5[[#Headers],[Realizado]],Tabela5[[#This Row],['[Valores_cenario']]],0)</f>
        <v>0</v>
      </c>
    </row>
    <row r="467" hidden="1" spans="1:16">
      <c r="A467" t="s">
        <v>97</v>
      </c>
      <c r="B467" t="s">
        <v>18</v>
      </c>
      <c r="C467" t="s">
        <v>98</v>
      </c>
      <c r="D467" t="s">
        <v>14</v>
      </c>
      <c r="E467">
        <v>2021</v>
      </c>
      <c r="F467" t="s">
        <v>30</v>
      </c>
      <c r="G467" t="s">
        <v>41</v>
      </c>
      <c r="H467">
        <v>9</v>
      </c>
      <c r="I467">
        <v>23713.08</v>
      </c>
      <c r="J467" t="s">
        <v>36</v>
      </c>
      <c r="K467" s="3"/>
      <c r="N467" s="6">
        <f>IF(Tabela5[[#This Row],[Dim_Cenario'[Nome Cenario']]]=Tabela5[[#Headers],[INIC Atual]],Tabela5[[#This Row],['[Valores_cenario']]],0)</f>
        <v>0</v>
      </c>
      <c r="O467" s="6">
        <f>IF(Tabela5[[#This Row],[Dim_Cenario'[Nome Cenario']]]=Tabela5[[#Headers],[Revisado]],Tabela5[[#This Row],['[Valores_cenario']]],0)</f>
        <v>23713.08</v>
      </c>
      <c r="P467" s="6">
        <f>IF(Tabela5[[#This Row],[Dim_Cenario'[Nome Cenario']]]=Tabela5[[#Headers],[Realizado]],Tabela5[[#This Row],['[Valores_cenario']]],0)</f>
        <v>0</v>
      </c>
    </row>
    <row r="468" hidden="1" spans="1:16">
      <c r="A468" t="s">
        <v>97</v>
      </c>
      <c r="B468" t="s">
        <v>18</v>
      </c>
      <c r="C468" t="s">
        <v>98</v>
      </c>
      <c r="D468" t="s">
        <v>14</v>
      </c>
      <c r="E468">
        <v>2021</v>
      </c>
      <c r="F468" t="s">
        <v>21</v>
      </c>
      <c r="G468" t="s">
        <v>22</v>
      </c>
      <c r="H468">
        <v>10</v>
      </c>
      <c r="I468">
        <v>23713.08</v>
      </c>
      <c r="J468" t="s">
        <v>36</v>
      </c>
      <c r="K468" s="3"/>
      <c r="N468" s="6">
        <f>IF(Tabela5[[#This Row],[Dim_Cenario'[Nome Cenario']]]=Tabela5[[#Headers],[INIC Atual]],Tabela5[[#This Row],['[Valores_cenario']]],0)</f>
        <v>0</v>
      </c>
      <c r="O468" s="6">
        <f>IF(Tabela5[[#This Row],[Dim_Cenario'[Nome Cenario']]]=Tabela5[[#Headers],[Revisado]],Tabela5[[#This Row],['[Valores_cenario']]],0)</f>
        <v>23713.08</v>
      </c>
      <c r="P468" s="6">
        <f>IF(Tabela5[[#This Row],[Dim_Cenario'[Nome Cenario']]]=Tabela5[[#Headers],[Realizado]],Tabela5[[#This Row],['[Valores_cenario']]],0)</f>
        <v>0</v>
      </c>
    </row>
    <row r="469" hidden="1" spans="1:16">
      <c r="A469" t="s">
        <v>97</v>
      </c>
      <c r="B469" t="s">
        <v>18</v>
      </c>
      <c r="C469" t="s">
        <v>98</v>
      </c>
      <c r="D469" t="s">
        <v>14</v>
      </c>
      <c r="E469">
        <v>2021</v>
      </c>
      <c r="F469" t="s">
        <v>21</v>
      </c>
      <c r="G469" t="s">
        <v>24</v>
      </c>
      <c r="H469">
        <v>11</v>
      </c>
      <c r="I469">
        <v>23713.08</v>
      </c>
      <c r="J469" t="s">
        <v>36</v>
      </c>
      <c r="K469" s="3"/>
      <c r="N469" s="6">
        <f>IF(Tabela5[[#This Row],[Dim_Cenario'[Nome Cenario']]]=Tabela5[[#Headers],[INIC Atual]],Tabela5[[#This Row],['[Valores_cenario']]],0)</f>
        <v>0</v>
      </c>
      <c r="O469" s="6">
        <f>IF(Tabela5[[#This Row],[Dim_Cenario'[Nome Cenario']]]=Tabela5[[#Headers],[Revisado]],Tabela5[[#This Row],['[Valores_cenario']]],0)</f>
        <v>23713.08</v>
      </c>
      <c r="P469" s="6">
        <f>IF(Tabela5[[#This Row],[Dim_Cenario'[Nome Cenario']]]=Tabela5[[#Headers],[Realizado]],Tabela5[[#This Row],['[Valores_cenario']]],0)</f>
        <v>0</v>
      </c>
    </row>
    <row r="470" hidden="1" spans="1:16">
      <c r="A470" t="s">
        <v>97</v>
      </c>
      <c r="B470" t="s">
        <v>18</v>
      </c>
      <c r="C470" t="s">
        <v>210</v>
      </c>
      <c r="D470" t="s">
        <v>14</v>
      </c>
      <c r="E470">
        <v>2020</v>
      </c>
      <c r="F470" t="s">
        <v>30</v>
      </c>
      <c r="G470" t="s">
        <v>31</v>
      </c>
      <c r="H470">
        <v>8</v>
      </c>
      <c r="I470">
        <v>12900</v>
      </c>
      <c r="J470" t="s">
        <v>36</v>
      </c>
      <c r="K470" s="3"/>
      <c r="N470" s="6">
        <f>IF(Tabela5[[#This Row],[Dim_Cenario'[Nome Cenario']]]=Tabela5[[#Headers],[INIC Atual]],Tabela5[[#This Row],['[Valores_cenario']]],0)</f>
        <v>0</v>
      </c>
      <c r="O470" s="6">
        <f>IF(Tabela5[[#This Row],[Dim_Cenario'[Nome Cenario']]]=Tabela5[[#Headers],[Revisado]],Tabela5[[#This Row],['[Valores_cenario']]],0)</f>
        <v>12900</v>
      </c>
      <c r="P470" s="6">
        <f>IF(Tabela5[[#This Row],[Dim_Cenario'[Nome Cenario']]]=Tabela5[[#Headers],[Realizado]],Tabela5[[#This Row],['[Valores_cenario']]],0)</f>
        <v>0</v>
      </c>
    </row>
    <row r="471" hidden="1" spans="1:16">
      <c r="A471" t="s">
        <v>97</v>
      </c>
      <c r="B471" t="s">
        <v>18</v>
      </c>
      <c r="C471" t="s">
        <v>210</v>
      </c>
      <c r="D471" t="s">
        <v>14</v>
      </c>
      <c r="E471">
        <v>2020</v>
      </c>
      <c r="F471" t="s">
        <v>30</v>
      </c>
      <c r="G471" t="s">
        <v>41</v>
      </c>
      <c r="H471">
        <v>9</v>
      </c>
      <c r="I471">
        <v>30514</v>
      </c>
      <c r="J471" t="s">
        <v>36</v>
      </c>
      <c r="K471" s="3"/>
      <c r="N471" s="6">
        <f>IF(Tabela5[[#This Row],[Dim_Cenario'[Nome Cenario']]]=Tabela5[[#Headers],[INIC Atual]],Tabela5[[#This Row],['[Valores_cenario']]],0)</f>
        <v>0</v>
      </c>
      <c r="O471" s="6">
        <f>IF(Tabela5[[#This Row],[Dim_Cenario'[Nome Cenario']]]=Tabela5[[#Headers],[Revisado]],Tabela5[[#This Row],['[Valores_cenario']]],0)</f>
        <v>30514</v>
      </c>
      <c r="P471" s="6">
        <f>IF(Tabela5[[#This Row],[Dim_Cenario'[Nome Cenario']]]=Tabela5[[#Headers],[Realizado]],Tabela5[[#This Row],['[Valores_cenario']]],0)</f>
        <v>0</v>
      </c>
    </row>
    <row r="472" hidden="1" spans="1:16">
      <c r="A472" t="s">
        <v>97</v>
      </c>
      <c r="B472" t="s">
        <v>18</v>
      </c>
      <c r="C472" t="s">
        <v>210</v>
      </c>
      <c r="D472" t="s">
        <v>14</v>
      </c>
      <c r="E472">
        <v>2020</v>
      </c>
      <c r="F472" t="s">
        <v>21</v>
      </c>
      <c r="G472" t="s">
        <v>22</v>
      </c>
      <c r="H472">
        <v>10</v>
      </c>
      <c r="I472">
        <v>26810</v>
      </c>
      <c r="J472" t="s">
        <v>36</v>
      </c>
      <c r="K472" s="3"/>
      <c r="N472" s="6">
        <f>IF(Tabela5[[#This Row],[Dim_Cenario'[Nome Cenario']]]=Tabela5[[#Headers],[INIC Atual]],Tabela5[[#This Row],['[Valores_cenario']]],0)</f>
        <v>0</v>
      </c>
      <c r="O472" s="6">
        <f>IF(Tabela5[[#This Row],[Dim_Cenario'[Nome Cenario']]]=Tabela5[[#Headers],[Revisado]],Tabela5[[#This Row],['[Valores_cenario']]],0)</f>
        <v>26810</v>
      </c>
      <c r="P472" s="6">
        <f>IF(Tabela5[[#This Row],[Dim_Cenario'[Nome Cenario']]]=Tabela5[[#Headers],[Realizado]],Tabela5[[#This Row],['[Valores_cenario']]],0)</f>
        <v>0</v>
      </c>
    </row>
    <row r="473" hidden="1" spans="1:16">
      <c r="A473" t="s">
        <v>97</v>
      </c>
      <c r="B473" t="s">
        <v>18</v>
      </c>
      <c r="C473" t="s">
        <v>210</v>
      </c>
      <c r="D473" t="s">
        <v>14</v>
      </c>
      <c r="E473">
        <v>2020</v>
      </c>
      <c r="F473" t="s">
        <v>21</v>
      </c>
      <c r="G473" t="s">
        <v>24</v>
      </c>
      <c r="H473">
        <v>11</v>
      </c>
      <c r="I473">
        <v>16646</v>
      </c>
      <c r="J473" t="s">
        <v>36</v>
      </c>
      <c r="K473" s="3"/>
      <c r="N473" s="6">
        <f>IF(Tabela5[[#This Row],[Dim_Cenario'[Nome Cenario']]]=Tabela5[[#Headers],[INIC Atual]],Tabela5[[#This Row],['[Valores_cenario']]],0)</f>
        <v>0</v>
      </c>
      <c r="O473" s="6">
        <f>IF(Tabela5[[#This Row],[Dim_Cenario'[Nome Cenario']]]=Tabela5[[#Headers],[Revisado]],Tabela5[[#This Row],['[Valores_cenario']]],0)</f>
        <v>16646</v>
      </c>
      <c r="P473" s="6">
        <f>IF(Tabela5[[#This Row],[Dim_Cenario'[Nome Cenario']]]=Tabela5[[#Headers],[Realizado]],Tabela5[[#This Row],['[Valores_cenario']]],0)</f>
        <v>0</v>
      </c>
    </row>
    <row r="474" hidden="1" spans="1:16">
      <c r="A474" t="s">
        <v>97</v>
      </c>
      <c r="B474" t="s">
        <v>18</v>
      </c>
      <c r="C474" t="s">
        <v>210</v>
      </c>
      <c r="D474" t="s">
        <v>14</v>
      </c>
      <c r="E474">
        <v>2020</v>
      </c>
      <c r="F474" t="s">
        <v>21</v>
      </c>
      <c r="G474" t="s">
        <v>32</v>
      </c>
      <c r="H474">
        <v>12</v>
      </c>
      <c r="I474">
        <v>373130</v>
      </c>
      <c r="J474" t="s">
        <v>36</v>
      </c>
      <c r="K474" s="3"/>
      <c r="N474" s="6">
        <f>IF(Tabela5[[#This Row],[Dim_Cenario'[Nome Cenario']]]=Tabela5[[#Headers],[INIC Atual]],Tabela5[[#This Row],['[Valores_cenario']]],0)</f>
        <v>0</v>
      </c>
      <c r="O474" s="6">
        <f>IF(Tabela5[[#This Row],[Dim_Cenario'[Nome Cenario']]]=Tabela5[[#Headers],[Revisado]],Tabela5[[#This Row],['[Valores_cenario']]],0)</f>
        <v>373130</v>
      </c>
      <c r="P474" s="6">
        <f>IF(Tabela5[[#This Row],[Dim_Cenario'[Nome Cenario']]]=Tabela5[[#Headers],[Realizado]],Tabela5[[#This Row],['[Valores_cenario']]],0)</f>
        <v>0</v>
      </c>
    </row>
    <row r="475" hidden="1" spans="1:16">
      <c r="A475" t="s">
        <v>97</v>
      </c>
      <c r="B475" t="s">
        <v>18</v>
      </c>
      <c r="C475" t="s">
        <v>210</v>
      </c>
      <c r="D475" t="s">
        <v>14</v>
      </c>
      <c r="E475">
        <v>2021</v>
      </c>
      <c r="F475" t="s">
        <v>25</v>
      </c>
      <c r="G475" t="s">
        <v>35</v>
      </c>
      <c r="H475">
        <v>1</v>
      </c>
      <c r="I475">
        <v>230000</v>
      </c>
      <c r="J475" t="s">
        <v>36</v>
      </c>
      <c r="K475" s="3"/>
      <c r="N475" s="6">
        <f>IF(Tabela5[[#This Row],[Dim_Cenario'[Nome Cenario']]]=Tabela5[[#Headers],[INIC Atual]],Tabela5[[#This Row],['[Valores_cenario']]],0)</f>
        <v>0</v>
      </c>
      <c r="O475" s="6">
        <f>IF(Tabela5[[#This Row],[Dim_Cenario'[Nome Cenario']]]=Tabela5[[#Headers],[Revisado]],Tabela5[[#This Row],['[Valores_cenario']]],0)</f>
        <v>230000</v>
      </c>
      <c r="P475" s="6">
        <f>IF(Tabela5[[#This Row],[Dim_Cenario'[Nome Cenario']]]=Tabela5[[#Headers],[Realizado]],Tabela5[[#This Row],['[Valores_cenario']]],0)</f>
        <v>0</v>
      </c>
    </row>
    <row r="476" hidden="1" spans="1:16">
      <c r="A476" t="s">
        <v>97</v>
      </c>
      <c r="B476" t="s">
        <v>18</v>
      </c>
      <c r="C476" t="s">
        <v>210</v>
      </c>
      <c r="D476" t="s">
        <v>14</v>
      </c>
      <c r="E476">
        <v>2021</v>
      </c>
      <c r="F476" t="s">
        <v>25</v>
      </c>
      <c r="G476" t="s">
        <v>26</v>
      </c>
      <c r="H476">
        <v>2</v>
      </c>
      <c r="I476">
        <v>230000</v>
      </c>
      <c r="J476" t="s">
        <v>36</v>
      </c>
      <c r="K476" s="3"/>
      <c r="N476" s="6">
        <f>IF(Tabela5[[#This Row],[Dim_Cenario'[Nome Cenario']]]=Tabela5[[#Headers],[INIC Atual]],Tabela5[[#This Row],['[Valores_cenario']]],0)</f>
        <v>0</v>
      </c>
      <c r="O476" s="6">
        <f>IF(Tabela5[[#This Row],[Dim_Cenario'[Nome Cenario']]]=Tabela5[[#Headers],[Revisado]],Tabela5[[#This Row],['[Valores_cenario']]],0)</f>
        <v>230000</v>
      </c>
      <c r="P476" s="6">
        <f>IF(Tabela5[[#This Row],[Dim_Cenario'[Nome Cenario']]]=Tabela5[[#Headers],[Realizado]],Tabela5[[#This Row],['[Valores_cenario']]],0)</f>
        <v>0</v>
      </c>
    </row>
    <row r="477" hidden="1" spans="1:16">
      <c r="A477" t="s">
        <v>152</v>
      </c>
      <c r="B477" t="s">
        <v>18</v>
      </c>
      <c r="C477" t="s">
        <v>19</v>
      </c>
      <c r="D477" t="s">
        <v>15</v>
      </c>
      <c r="E477">
        <v>2019</v>
      </c>
      <c r="F477" t="s">
        <v>25</v>
      </c>
      <c r="G477" t="s">
        <v>35</v>
      </c>
      <c r="H477">
        <v>1</v>
      </c>
      <c r="I477">
        <v>71501.45</v>
      </c>
      <c r="J477" t="s">
        <v>36</v>
      </c>
      <c r="K477" s="3">
        <v>43495</v>
      </c>
      <c r="L477" t="s">
        <v>211</v>
      </c>
      <c r="M477" t="s">
        <v>212</v>
      </c>
      <c r="N477" s="6">
        <f>IF(Tabela5[[#This Row],[Dim_Cenario'[Nome Cenario']]]=Tabela5[[#Headers],[INIC Atual]],Tabela5[[#This Row],['[Valores_cenario']]],0)</f>
        <v>0</v>
      </c>
      <c r="O477" s="6">
        <f>IF(Tabela5[[#This Row],[Dim_Cenario'[Nome Cenario']]]=Tabela5[[#Headers],[Revisado]],Tabela5[[#This Row],['[Valores_cenario']]],0)</f>
        <v>0</v>
      </c>
      <c r="P477" s="6">
        <f>IF(Tabela5[[#This Row],[Dim_Cenario'[Nome Cenario']]]=Tabela5[[#Headers],[Realizado]],Tabela5[[#This Row],['[Valores_cenario']]],0)</f>
        <v>71501.45</v>
      </c>
    </row>
    <row r="478" hidden="1" spans="1:16">
      <c r="A478" t="s">
        <v>97</v>
      </c>
      <c r="B478" t="s">
        <v>18</v>
      </c>
      <c r="C478" t="s">
        <v>98</v>
      </c>
      <c r="D478" t="s">
        <v>15</v>
      </c>
      <c r="E478">
        <v>2019</v>
      </c>
      <c r="F478" t="s">
        <v>25</v>
      </c>
      <c r="G478" t="s">
        <v>35</v>
      </c>
      <c r="H478">
        <v>1</v>
      </c>
      <c r="I478">
        <v>91665</v>
      </c>
      <c r="J478" t="s">
        <v>36</v>
      </c>
      <c r="K478" s="3">
        <v>43496</v>
      </c>
      <c r="L478" t="s">
        <v>213</v>
      </c>
      <c r="M478" t="s">
        <v>214</v>
      </c>
      <c r="N478" s="6">
        <f>IF(Tabela5[[#This Row],[Dim_Cenario'[Nome Cenario']]]=Tabela5[[#Headers],[INIC Atual]],Tabela5[[#This Row],['[Valores_cenario']]],0)</f>
        <v>0</v>
      </c>
      <c r="O478" s="6">
        <f>IF(Tabela5[[#This Row],[Dim_Cenario'[Nome Cenario']]]=Tabela5[[#Headers],[Revisado]],Tabela5[[#This Row],['[Valores_cenario']]],0)</f>
        <v>0</v>
      </c>
      <c r="P478" s="6">
        <f>IF(Tabela5[[#This Row],[Dim_Cenario'[Nome Cenario']]]=Tabela5[[#Headers],[Realizado]],Tabela5[[#This Row],['[Valores_cenario']]],0)</f>
        <v>91665</v>
      </c>
    </row>
    <row r="479" hidden="1" spans="1:16">
      <c r="A479" t="s">
        <v>97</v>
      </c>
      <c r="B479" t="s">
        <v>18</v>
      </c>
      <c r="C479" t="s">
        <v>98</v>
      </c>
      <c r="D479" t="s">
        <v>15</v>
      </c>
      <c r="E479">
        <v>2019</v>
      </c>
      <c r="F479" t="s">
        <v>25</v>
      </c>
      <c r="G479" t="s">
        <v>26</v>
      </c>
      <c r="H479">
        <v>2</v>
      </c>
      <c r="I479">
        <v>-91665</v>
      </c>
      <c r="J479" t="s">
        <v>36</v>
      </c>
      <c r="K479" s="3">
        <v>43497</v>
      </c>
      <c r="L479" t="s">
        <v>213</v>
      </c>
      <c r="M479" t="s">
        <v>215</v>
      </c>
      <c r="N479" s="6">
        <f>IF(Tabela5[[#This Row],[Dim_Cenario'[Nome Cenario']]]=Tabela5[[#Headers],[INIC Atual]],Tabela5[[#This Row],['[Valores_cenario']]],0)</f>
        <v>0</v>
      </c>
      <c r="O479" s="6">
        <f>IF(Tabela5[[#This Row],[Dim_Cenario'[Nome Cenario']]]=Tabela5[[#Headers],[Revisado]],Tabela5[[#This Row],['[Valores_cenario']]],0)</f>
        <v>0</v>
      </c>
      <c r="P479" s="6">
        <f>IF(Tabela5[[#This Row],[Dim_Cenario'[Nome Cenario']]]=Tabela5[[#Headers],[Realizado]],Tabela5[[#This Row],['[Valores_cenario']]],0)</f>
        <v>-91665</v>
      </c>
    </row>
    <row r="480" hidden="1" spans="1:16">
      <c r="A480" t="s">
        <v>97</v>
      </c>
      <c r="B480" t="s">
        <v>18</v>
      </c>
      <c r="C480" t="s">
        <v>98</v>
      </c>
      <c r="D480" t="s">
        <v>15</v>
      </c>
      <c r="E480">
        <v>2019</v>
      </c>
      <c r="F480" t="s">
        <v>25</v>
      </c>
      <c r="G480" t="s">
        <v>26</v>
      </c>
      <c r="H480">
        <v>2</v>
      </c>
      <c r="I480">
        <v>21825</v>
      </c>
      <c r="J480" t="s">
        <v>36</v>
      </c>
      <c r="K480" s="3">
        <v>43510</v>
      </c>
      <c r="L480" t="s">
        <v>213</v>
      </c>
      <c r="M480" t="s">
        <v>216</v>
      </c>
      <c r="N480" s="6">
        <f>IF(Tabela5[[#This Row],[Dim_Cenario'[Nome Cenario']]]=Tabela5[[#Headers],[INIC Atual]],Tabela5[[#This Row],['[Valores_cenario']]],0)</f>
        <v>0</v>
      </c>
      <c r="O480" s="6">
        <f>IF(Tabela5[[#This Row],[Dim_Cenario'[Nome Cenario']]]=Tabela5[[#Headers],[Revisado]],Tabela5[[#This Row],['[Valores_cenario']]],0)</f>
        <v>0</v>
      </c>
      <c r="P480" s="6">
        <f>IF(Tabela5[[#This Row],[Dim_Cenario'[Nome Cenario']]]=Tabela5[[#Headers],[Realizado]],Tabela5[[#This Row],['[Valores_cenario']]],0)</f>
        <v>21825</v>
      </c>
    </row>
    <row r="481" hidden="1" spans="1:16">
      <c r="A481" t="s">
        <v>97</v>
      </c>
      <c r="B481" t="s">
        <v>18</v>
      </c>
      <c r="C481" t="s">
        <v>98</v>
      </c>
      <c r="D481" t="s">
        <v>15</v>
      </c>
      <c r="E481">
        <v>2019</v>
      </c>
      <c r="F481" t="s">
        <v>25</v>
      </c>
      <c r="G481" t="s">
        <v>26</v>
      </c>
      <c r="H481">
        <v>2</v>
      </c>
      <c r="I481">
        <v>21825</v>
      </c>
      <c r="J481" t="s">
        <v>36</v>
      </c>
      <c r="K481" s="3">
        <v>43510</v>
      </c>
      <c r="L481" t="s">
        <v>213</v>
      </c>
      <c r="M481" t="s">
        <v>217</v>
      </c>
      <c r="N481" s="6">
        <f>IF(Tabela5[[#This Row],[Dim_Cenario'[Nome Cenario']]]=Tabela5[[#Headers],[INIC Atual]],Tabela5[[#This Row],['[Valores_cenario']]],0)</f>
        <v>0</v>
      </c>
      <c r="O481" s="6">
        <f>IF(Tabela5[[#This Row],[Dim_Cenario'[Nome Cenario']]]=Tabela5[[#Headers],[Revisado]],Tabela5[[#This Row],['[Valores_cenario']]],0)</f>
        <v>0</v>
      </c>
      <c r="P481" s="6">
        <f>IF(Tabela5[[#This Row],[Dim_Cenario'[Nome Cenario']]]=Tabela5[[#Headers],[Realizado]],Tabela5[[#This Row],['[Valores_cenario']]],0)</f>
        <v>21825</v>
      </c>
    </row>
    <row r="482" hidden="1" spans="1:16">
      <c r="A482" t="s">
        <v>97</v>
      </c>
      <c r="B482" t="s">
        <v>18</v>
      </c>
      <c r="C482" t="s">
        <v>98</v>
      </c>
      <c r="D482" t="s">
        <v>15</v>
      </c>
      <c r="E482">
        <v>2019</v>
      </c>
      <c r="F482" t="s">
        <v>25</v>
      </c>
      <c r="G482" t="s">
        <v>26</v>
      </c>
      <c r="H482">
        <v>2</v>
      </c>
      <c r="I482">
        <v>8730</v>
      </c>
      <c r="J482" t="s">
        <v>36</v>
      </c>
      <c r="K482" s="3">
        <v>43510</v>
      </c>
      <c r="L482" t="s">
        <v>213</v>
      </c>
      <c r="M482" t="s">
        <v>218</v>
      </c>
      <c r="N482" s="6">
        <f>IF(Tabela5[[#This Row],[Dim_Cenario'[Nome Cenario']]]=Tabela5[[#Headers],[INIC Atual]],Tabela5[[#This Row],['[Valores_cenario']]],0)</f>
        <v>0</v>
      </c>
      <c r="O482" s="6">
        <f>IF(Tabela5[[#This Row],[Dim_Cenario'[Nome Cenario']]]=Tabela5[[#Headers],[Revisado]],Tabela5[[#This Row],['[Valores_cenario']]],0)</f>
        <v>0</v>
      </c>
      <c r="P482" s="6">
        <f>IF(Tabela5[[#This Row],[Dim_Cenario'[Nome Cenario']]]=Tabela5[[#Headers],[Realizado]],Tabela5[[#This Row],['[Valores_cenario']]],0)</f>
        <v>8730</v>
      </c>
    </row>
    <row r="483" hidden="1" spans="1:16">
      <c r="A483" t="s">
        <v>97</v>
      </c>
      <c r="B483" t="s">
        <v>18</v>
      </c>
      <c r="C483" t="s">
        <v>98</v>
      </c>
      <c r="D483" t="s">
        <v>15</v>
      </c>
      <c r="E483">
        <v>2019</v>
      </c>
      <c r="F483" t="s">
        <v>25</v>
      </c>
      <c r="G483" t="s">
        <v>26</v>
      </c>
      <c r="H483">
        <v>2</v>
      </c>
      <c r="I483">
        <v>39285</v>
      </c>
      <c r="J483" t="s">
        <v>36</v>
      </c>
      <c r="K483" s="3">
        <v>43510</v>
      </c>
      <c r="L483" t="s">
        <v>213</v>
      </c>
      <c r="M483" t="s">
        <v>219</v>
      </c>
      <c r="N483" s="6">
        <f>IF(Tabela5[[#This Row],[Dim_Cenario'[Nome Cenario']]]=Tabela5[[#Headers],[INIC Atual]],Tabela5[[#This Row],['[Valores_cenario']]],0)</f>
        <v>0</v>
      </c>
      <c r="O483" s="6">
        <f>IF(Tabela5[[#This Row],[Dim_Cenario'[Nome Cenario']]]=Tabela5[[#Headers],[Revisado]],Tabela5[[#This Row],['[Valores_cenario']]],0)</f>
        <v>0</v>
      </c>
      <c r="P483" s="6">
        <f>IF(Tabela5[[#This Row],[Dim_Cenario'[Nome Cenario']]]=Tabela5[[#Headers],[Realizado]],Tabela5[[#This Row],['[Valores_cenario']]],0)</f>
        <v>39285</v>
      </c>
    </row>
    <row r="484" hidden="1" spans="1:16">
      <c r="A484" t="s">
        <v>17</v>
      </c>
      <c r="B484" t="s">
        <v>18</v>
      </c>
      <c r="C484" t="s">
        <v>37</v>
      </c>
      <c r="D484" t="s">
        <v>15</v>
      </c>
      <c r="E484">
        <v>2022</v>
      </c>
      <c r="F484" t="s">
        <v>27</v>
      </c>
      <c r="G484" t="s">
        <v>29</v>
      </c>
      <c r="H484">
        <v>6</v>
      </c>
      <c r="I484">
        <v>16000</v>
      </c>
      <c r="J484" t="s">
        <v>23</v>
      </c>
      <c r="K484" s="3">
        <v>44741</v>
      </c>
      <c r="L484" t="s">
        <v>106</v>
      </c>
      <c r="M484" t="s">
        <v>220</v>
      </c>
      <c r="N484" s="6">
        <f>IF(Tabela5[[#This Row],[Dim_Cenario'[Nome Cenario']]]=Tabela5[[#Headers],[INIC Atual]],Tabela5[[#This Row],['[Valores_cenario']]],0)</f>
        <v>0</v>
      </c>
      <c r="O484" s="6">
        <f>IF(Tabela5[[#This Row],[Dim_Cenario'[Nome Cenario']]]=Tabela5[[#Headers],[Revisado]],Tabela5[[#This Row],['[Valores_cenario']]],0)</f>
        <v>0</v>
      </c>
      <c r="P484" s="6">
        <f>IF(Tabela5[[#This Row],[Dim_Cenario'[Nome Cenario']]]=Tabela5[[#Headers],[Realizado]],Tabela5[[#This Row],['[Valores_cenario']]],0)</f>
        <v>16000</v>
      </c>
    </row>
    <row r="485" hidden="1" spans="1:16">
      <c r="A485" t="s">
        <v>97</v>
      </c>
      <c r="B485" t="s">
        <v>18</v>
      </c>
      <c r="C485" t="s">
        <v>98</v>
      </c>
      <c r="D485" t="s">
        <v>15</v>
      </c>
      <c r="E485">
        <v>2019</v>
      </c>
      <c r="F485" t="s">
        <v>25</v>
      </c>
      <c r="G485" t="s">
        <v>26</v>
      </c>
      <c r="H485">
        <v>2</v>
      </c>
      <c r="I485">
        <v>14712</v>
      </c>
      <c r="J485" t="s">
        <v>36</v>
      </c>
      <c r="K485" s="3">
        <v>43524</v>
      </c>
      <c r="L485" t="s">
        <v>213</v>
      </c>
      <c r="M485" t="s">
        <v>221</v>
      </c>
      <c r="N485" s="6">
        <f>IF(Tabela5[[#This Row],[Dim_Cenario'[Nome Cenario']]]=Tabela5[[#Headers],[INIC Atual]],Tabela5[[#This Row],['[Valores_cenario']]],0)</f>
        <v>0</v>
      </c>
      <c r="O485" s="6">
        <f>IF(Tabela5[[#This Row],[Dim_Cenario'[Nome Cenario']]]=Tabela5[[#Headers],[Revisado]],Tabela5[[#This Row],['[Valores_cenario']]],0)</f>
        <v>0</v>
      </c>
      <c r="P485" s="6">
        <f>IF(Tabela5[[#This Row],[Dim_Cenario'[Nome Cenario']]]=Tabela5[[#Headers],[Realizado]],Tabela5[[#This Row],['[Valores_cenario']]],0)</f>
        <v>14712</v>
      </c>
    </row>
    <row r="486" hidden="1" spans="1:16">
      <c r="A486" t="s">
        <v>97</v>
      </c>
      <c r="B486" t="s">
        <v>18</v>
      </c>
      <c r="C486" t="s">
        <v>98</v>
      </c>
      <c r="D486" t="s">
        <v>15</v>
      </c>
      <c r="E486">
        <v>2019</v>
      </c>
      <c r="F486" t="s">
        <v>25</v>
      </c>
      <c r="G486" t="s">
        <v>38</v>
      </c>
      <c r="H486">
        <v>3</v>
      </c>
      <c r="I486">
        <v>-14712</v>
      </c>
      <c r="J486" t="s">
        <v>36</v>
      </c>
      <c r="K486" s="3">
        <v>43525</v>
      </c>
      <c r="L486" t="s">
        <v>213</v>
      </c>
      <c r="M486" t="s">
        <v>222</v>
      </c>
      <c r="N486" s="6">
        <f>IF(Tabela5[[#This Row],[Dim_Cenario'[Nome Cenario']]]=Tabela5[[#Headers],[INIC Atual]],Tabela5[[#This Row],['[Valores_cenario']]],0)</f>
        <v>0</v>
      </c>
      <c r="O486" s="6">
        <f>IF(Tabela5[[#This Row],[Dim_Cenario'[Nome Cenario']]]=Tabela5[[#Headers],[Revisado]],Tabela5[[#This Row],['[Valores_cenario']]],0)</f>
        <v>0</v>
      </c>
      <c r="P486" s="6">
        <f>IF(Tabela5[[#This Row],[Dim_Cenario'[Nome Cenario']]]=Tabela5[[#Headers],[Realizado]],Tabela5[[#This Row],['[Valores_cenario']]],0)</f>
        <v>-14712</v>
      </c>
    </row>
    <row r="487" spans="1:16">
      <c r="A487" t="s">
        <v>17</v>
      </c>
      <c r="B487" t="s">
        <v>18</v>
      </c>
      <c r="C487" t="s">
        <v>37</v>
      </c>
      <c r="D487" t="s">
        <v>15</v>
      </c>
      <c r="E487">
        <v>2022</v>
      </c>
      <c r="F487" t="s">
        <v>30</v>
      </c>
      <c r="G487" t="s">
        <v>31</v>
      </c>
      <c r="H487">
        <v>8</v>
      </c>
      <c r="I487">
        <v>2357.2</v>
      </c>
      <c r="J487" t="s">
        <v>23</v>
      </c>
      <c r="K487" s="3">
        <v>44781</v>
      </c>
      <c r="L487" t="s">
        <v>52</v>
      </c>
      <c r="M487" t="s">
        <v>223</v>
      </c>
      <c r="N487" s="6">
        <f>IF(Tabela5[[#This Row],[Dim_Cenario'[Nome Cenario']]]=Tabela5[[#Headers],[INIC Atual]],Tabela5[[#This Row],['[Valores_cenario']]],0)</f>
        <v>0</v>
      </c>
      <c r="O487" s="6">
        <f>IF(Tabela5[[#This Row],[Dim_Cenario'[Nome Cenario']]]=Tabela5[[#Headers],[Revisado]],Tabela5[[#This Row],['[Valores_cenario']]],0)</f>
        <v>0</v>
      </c>
      <c r="P487" s="6">
        <f>IF(Tabela5[[#This Row],[Dim_Cenario'[Nome Cenario']]]=Tabela5[[#Headers],[Realizado]],Tabela5[[#This Row],['[Valores_cenario']]],0)</f>
        <v>2357.2</v>
      </c>
    </row>
    <row r="488" spans="1:16">
      <c r="A488" t="s">
        <v>17</v>
      </c>
      <c r="B488" t="s">
        <v>18</v>
      </c>
      <c r="C488" t="s">
        <v>37</v>
      </c>
      <c r="D488" t="s">
        <v>15</v>
      </c>
      <c r="E488">
        <v>2020</v>
      </c>
      <c r="F488" t="s">
        <v>21</v>
      </c>
      <c r="G488" t="s">
        <v>32</v>
      </c>
      <c r="H488">
        <v>12</v>
      </c>
      <c r="I488">
        <v>2339.2</v>
      </c>
      <c r="J488" t="s">
        <v>36</v>
      </c>
      <c r="K488" s="3">
        <v>44184</v>
      </c>
      <c r="L488" t="s">
        <v>50</v>
      </c>
      <c r="M488" t="s">
        <v>224</v>
      </c>
      <c r="N488" s="6">
        <f>IF(Tabela5[[#This Row],[Dim_Cenario'[Nome Cenario']]]=Tabela5[[#Headers],[INIC Atual]],Tabela5[[#This Row],['[Valores_cenario']]],0)</f>
        <v>0</v>
      </c>
      <c r="O488" s="6">
        <f>IF(Tabela5[[#This Row],[Dim_Cenario'[Nome Cenario']]]=Tabela5[[#Headers],[Revisado]],Tabela5[[#This Row],['[Valores_cenario']]],0)</f>
        <v>0</v>
      </c>
      <c r="P488" s="6">
        <f>IF(Tabela5[[#This Row],[Dim_Cenario'[Nome Cenario']]]=Tabela5[[#Headers],[Realizado]],Tabela5[[#This Row],['[Valores_cenario']]],0)</f>
        <v>2339.2</v>
      </c>
    </row>
    <row r="489" hidden="1" spans="1:16">
      <c r="A489" t="s">
        <v>97</v>
      </c>
      <c r="B489" t="s">
        <v>18</v>
      </c>
      <c r="C489" t="s">
        <v>98</v>
      </c>
      <c r="D489" t="s">
        <v>15</v>
      </c>
      <c r="E489">
        <v>2019</v>
      </c>
      <c r="F489" t="s">
        <v>25</v>
      </c>
      <c r="G489" t="s">
        <v>38</v>
      </c>
      <c r="H489">
        <v>3</v>
      </c>
      <c r="I489">
        <v>10185</v>
      </c>
      <c r="J489" t="s">
        <v>36</v>
      </c>
      <c r="K489" s="3">
        <v>43553</v>
      </c>
      <c r="L489" t="s">
        <v>213</v>
      </c>
      <c r="M489" t="s">
        <v>225</v>
      </c>
      <c r="N489" s="6">
        <f>IF(Tabela5[[#This Row],[Dim_Cenario'[Nome Cenario']]]=Tabela5[[#Headers],[INIC Atual]],Tabela5[[#This Row],['[Valores_cenario']]],0)</f>
        <v>0</v>
      </c>
      <c r="O489" s="6">
        <f>IF(Tabela5[[#This Row],[Dim_Cenario'[Nome Cenario']]]=Tabela5[[#Headers],[Revisado]],Tabela5[[#This Row],['[Valores_cenario']]],0)</f>
        <v>0</v>
      </c>
      <c r="P489" s="6">
        <f>IF(Tabela5[[#This Row],[Dim_Cenario'[Nome Cenario']]]=Tabela5[[#Headers],[Realizado]],Tabela5[[#This Row],['[Valores_cenario']]],0)</f>
        <v>10185</v>
      </c>
    </row>
    <row r="490" hidden="1" spans="1:16">
      <c r="A490" t="s">
        <v>97</v>
      </c>
      <c r="B490" t="s">
        <v>18</v>
      </c>
      <c r="C490" t="s">
        <v>98</v>
      </c>
      <c r="D490" t="s">
        <v>15</v>
      </c>
      <c r="E490">
        <v>2019</v>
      </c>
      <c r="F490" t="s">
        <v>25</v>
      </c>
      <c r="G490" t="s">
        <v>38</v>
      </c>
      <c r="H490">
        <v>3</v>
      </c>
      <c r="I490">
        <v>39285</v>
      </c>
      <c r="J490" t="s">
        <v>36</v>
      </c>
      <c r="K490" s="3">
        <v>43553</v>
      </c>
      <c r="L490" t="s">
        <v>213</v>
      </c>
      <c r="M490" t="s">
        <v>226</v>
      </c>
      <c r="N490" s="6">
        <f>IF(Tabela5[[#This Row],[Dim_Cenario'[Nome Cenario']]]=Tabela5[[#Headers],[INIC Atual]],Tabela5[[#This Row],['[Valores_cenario']]],0)</f>
        <v>0</v>
      </c>
      <c r="O490" s="6">
        <f>IF(Tabela5[[#This Row],[Dim_Cenario'[Nome Cenario']]]=Tabela5[[#Headers],[Revisado]],Tabela5[[#This Row],['[Valores_cenario']]],0)</f>
        <v>0</v>
      </c>
      <c r="P490" s="6">
        <f>IF(Tabela5[[#This Row],[Dim_Cenario'[Nome Cenario']]]=Tabela5[[#Headers],[Realizado]],Tabela5[[#This Row],['[Valores_cenario']]],0)</f>
        <v>39285</v>
      </c>
    </row>
    <row r="491" hidden="1" spans="1:16">
      <c r="A491" t="s">
        <v>97</v>
      </c>
      <c r="B491" t="s">
        <v>18</v>
      </c>
      <c r="C491" t="s">
        <v>98</v>
      </c>
      <c r="D491" t="s">
        <v>15</v>
      </c>
      <c r="E491">
        <v>2019</v>
      </c>
      <c r="F491" t="s">
        <v>25</v>
      </c>
      <c r="G491" t="s">
        <v>38</v>
      </c>
      <c r="H491">
        <v>3</v>
      </c>
      <c r="I491">
        <v>65475</v>
      </c>
      <c r="J491" t="s">
        <v>36</v>
      </c>
      <c r="K491" s="3">
        <v>43553</v>
      </c>
      <c r="L491" t="s">
        <v>213</v>
      </c>
      <c r="M491" t="s">
        <v>227</v>
      </c>
      <c r="N491" s="6">
        <f>IF(Tabela5[[#This Row],[Dim_Cenario'[Nome Cenario']]]=Tabela5[[#Headers],[INIC Atual]],Tabela5[[#This Row],['[Valores_cenario']]],0)</f>
        <v>0</v>
      </c>
      <c r="O491" s="6">
        <f>IF(Tabela5[[#This Row],[Dim_Cenario'[Nome Cenario']]]=Tabela5[[#Headers],[Revisado]],Tabela5[[#This Row],['[Valores_cenario']]],0)</f>
        <v>0</v>
      </c>
      <c r="P491" s="6">
        <f>IF(Tabela5[[#This Row],[Dim_Cenario'[Nome Cenario']]]=Tabela5[[#Headers],[Realizado]],Tabela5[[#This Row],['[Valores_cenario']]],0)</f>
        <v>65475</v>
      </c>
    </row>
    <row r="492" hidden="1" spans="1:16">
      <c r="A492" t="s">
        <v>97</v>
      </c>
      <c r="B492" t="s">
        <v>18</v>
      </c>
      <c r="C492" t="s">
        <v>98</v>
      </c>
      <c r="D492" t="s">
        <v>15</v>
      </c>
      <c r="E492">
        <v>2019</v>
      </c>
      <c r="F492" t="s">
        <v>27</v>
      </c>
      <c r="G492" t="s">
        <v>28</v>
      </c>
      <c r="H492">
        <v>4</v>
      </c>
      <c r="I492">
        <v>-1455</v>
      </c>
      <c r="J492" t="s">
        <v>36</v>
      </c>
      <c r="K492" s="3">
        <v>43563</v>
      </c>
      <c r="L492" t="s">
        <v>213</v>
      </c>
      <c r="M492" t="s">
        <v>228</v>
      </c>
      <c r="N492" s="6">
        <f>IF(Tabela5[[#This Row],[Dim_Cenario'[Nome Cenario']]]=Tabela5[[#Headers],[INIC Atual]],Tabela5[[#This Row],['[Valores_cenario']]],0)</f>
        <v>0</v>
      </c>
      <c r="O492" s="6">
        <f>IF(Tabela5[[#This Row],[Dim_Cenario'[Nome Cenario']]]=Tabela5[[#Headers],[Revisado]],Tabela5[[#This Row],['[Valores_cenario']]],0)</f>
        <v>0</v>
      </c>
      <c r="P492" s="6">
        <f>IF(Tabela5[[#This Row],[Dim_Cenario'[Nome Cenario']]]=Tabela5[[#Headers],[Realizado]],Tabela5[[#This Row],['[Valores_cenario']]],0)</f>
        <v>-1455</v>
      </c>
    </row>
    <row r="493" hidden="1" spans="1:16">
      <c r="A493" t="s">
        <v>97</v>
      </c>
      <c r="B493" t="s">
        <v>18</v>
      </c>
      <c r="C493" t="s">
        <v>98</v>
      </c>
      <c r="D493" t="s">
        <v>15</v>
      </c>
      <c r="E493">
        <v>2019</v>
      </c>
      <c r="F493" t="s">
        <v>27</v>
      </c>
      <c r="G493" t="s">
        <v>28</v>
      </c>
      <c r="H493">
        <v>4</v>
      </c>
      <c r="I493">
        <v>2910</v>
      </c>
      <c r="J493" t="s">
        <v>36</v>
      </c>
      <c r="K493" s="3">
        <v>43563</v>
      </c>
      <c r="L493" t="s">
        <v>213</v>
      </c>
      <c r="M493" t="s">
        <v>229</v>
      </c>
      <c r="N493" s="6">
        <f>IF(Tabela5[[#This Row],[Dim_Cenario'[Nome Cenario']]]=Tabela5[[#Headers],[INIC Atual]],Tabela5[[#This Row],['[Valores_cenario']]],0)</f>
        <v>0</v>
      </c>
      <c r="O493" s="6">
        <f>IF(Tabela5[[#This Row],[Dim_Cenario'[Nome Cenario']]]=Tabela5[[#Headers],[Revisado]],Tabela5[[#This Row],['[Valores_cenario']]],0)</f>
        <v>0</v>
      </c>
      <c r="P493" s="6">
        <f>IF(Tabela5[[#This Row],[Dim_Cenario'[Nome Cenario']]]=Tabela5[[#Headers],[Realizado]],Tabela5[[#This Row],['[Valores_cenario']]],0)</f>
        <v>2910</v>
      </c>
    </row>
    <row r="494" spans="1:16">
      <c r="A494" t="s">
        <v>17</v>
      </c>
      <c r="B494" t="s">
        <v>18</v>
      </c>
      <c r="C494" t="s">
        <v>37</v>
      </c>
      <c r="D494" t="s">
        <v>15</v>
      </c>
      <c r="E494">
        <v>2024</v>
      </c>
      <c r="F494" t="s">
        <v>27</v>
      </c>
      <c r="G494" t="s">
        <v>28</v>
      </c>
      <c r="H494">
        <v>4</v>
      </c>
      <c r="I494">
        <v>2162.16</v>
      </c>
      <c r="J494" t="s">
        <v>23</v>
      </c>
      <c r="K494" s="3">
        <v>45384</v>
      </c>
      <c r="L494" t="s">
        <v>230</v>
      </c>
      <c r="M494" t="s">
        <v>231</v>
      </c>
      <c r="N494" s="6">
        <f>IF(Tabela5[[#This Row],[Dim_Cenario'[Nome Cenario']]]=Tabela5[[#Headers],[INIC Atual]],Tabela5[[#This Row],['[Valores_cenario']]],0)</f>
        <v>0</v>
      </c>
      <c r="O494" s="6">
        <f>IF(Tabela5[[#This Row],[Dim_Cenario'[Nome Cenario']]]=Tabela5[[#Headers],[Revisado]],Tabela5[[#This Row],['[Valores_cenario']]],0)</f>
        <v>0</v>
      </c>
      <c r="P494" s="6">
        <f>IF(Tabela5[[#This Row],[Dim_Cenario'[Nome Cenario']]]=Tabela5[[#Headers],[Realizado]],Tabela5[[#This Row],['[Valores_cenario']]],0)</f>
        <v>2162.16</v>
      </c>
    </row>
    <row r="495" hidden="1" spans="1:16">
      <c r="A495" t="s">
        <v>152</v>
      </c>
      <c r="B495" t="s">
        <v>18</v>
      </c>
      <c r="C495" t="s">
        <v>19</v>
      </c>
      <c r="D495" t="s">
        <v>15</v>
      </c>
      <c r="E495">
        <v>2019</v>
      </c>
      <c r="F495" t="s">
        <v>27</v>
      </c>
      <c r="G495" t="s">
        <v>28</v>
      </c>
      <c r="H495">
        <v>4</v>
      </c>
      <c r="I495">
        <v>52601.46</v>
      </c>
      <c r="J495" t="s">
        <v>36</v>
      </c>
      <c r="K495" s="3">
        <v>43573</v>
      </c>
      <c r="L495" t="s">
        <v>211</v>
      </c>
      <c r="M495" t="s">
        <v>232</v>
      </c>
      <c r="N495" s="6">
        <f>IF(Tabela5[[#This Row],[Dim_Cenario'[Nome Cenario']]]=Tabela5[[#Headers],[INIC Atual]],Tabela5[[#This Row],['[Valores_cenario']]],0)</f>
        <v>0</v>
      </c>
      <c r="O495" s="6">
        <f>IF(Tabela5[[#This Row],[Dim_Cenario'[Nome Cenario']]]=Tabela5[[#Headers],[Revisado]],Tabela5[[#This Row],['[Valores_cenario']]],0)</f>
        <v>0</v>
      </c>
      <c r="P495" s="6">
        <f>IF(Tabela5[[#This Row],[Dim_Cenario'[Nome Cenario']]]=Tabela5[[#Headers],[Realizado]],Tabela5[[#This Row],['[Valores_cenario']]],0)</f>
        <v>52601.46</v>
      </c>
    </row>
    <row r="496" hidden="1" spans="1:16">
      <c r="A496" t="s">
        <v>152</v>
      </c>
      <c r="B496" t="s">
        <v>18</v>
      </c>
      <c r="C496" t="s">
        <v>19</v>
      </c>
      <c r="D496" t="s">
        <v>15</v>
      </c>
      <c r="E496">
        <v>2019</v>
      </c>
      <c r="F496" t="s">
        <v>27</v>
      </c>
      <c r="G496" t="s">
        <v>28</v>
      </c>
      <c r="H496">
        <v>4</v>
      </c>
      <c r="I496">
        <v>-52601.46</v>
      </c>
      <c r="J496" t="s">
        <v>36</v>
      </c>
      <c r="K496" s="3">
        <v>43579</v>
      </c>
      <c r="L496" t="s">
        <v>211</v>
      </c>
      <c r="M496" t="s">
        <v>233</v>
      </c>
      <c r="N496" s="6">
        <f>IF(Tabela5[[#This Row],[Dim_Cenario'[Nome Cenario']]]=Tabela5[[#Headers],[INIC Atual]],Tabela5[[#This Row],['[Valores_cenario']]],0)</f>
        <v>0</v>
      </c>
      <c r="O496" s="6">
        <f>IF(Tabela5[[#This Row],[Dim_Cenario'[Nome Cenario']]]=Tabela5[[#Headers],[Revisado]],Tabela5[[#This Row],['[Valores_cenario']]],0)</f>
        <v>0</v>
      </c>
      <c r="P496" s="6">
        <f>IF(Tabela5[[#This Row],[Dim_Cenario'[Nome Cenario']]]=Tabela5[[#Headers],[Realizado]],Tabela5[[#This Row],['[Valores_cenario']]],0)</f>
        <v>-52601.46</v>
      </c>
    </row>
    <row r="497" hidden="1" spans="1:16">
      <c r="A497" t="s">
        <v>152</v>
      </c>
      <c r="B497" t="s">
        <v>18</v>
      </c>
      <c r="C497" t="s">
        <v>19</v>
      </c>
      <c r="D497" t="s">
        <v>15</v>
      </c>
      <c r="E497">
        <v>2019</v>
      </c>
      <c r="F497" t="s">
        <v>27</v>
      </c>
      <c r="G497" t="s">
        <v>28</v>
      </c>
      <c r="H497">
        <v>4</v>
      </c>
      <c r="I497">
        <v>52601.46</v>
      </c>
      <c r="J497" t="s">
        <v>36</v>
      </c>
      <c r="K497" s="3">
        <v>43579</v>
      </c>
      <c r="L497" t="s">
        <v>211</v>
      </c>
      <c r="M497" t="s">
        <v>234</v>
      </c>
      <c r="N497" s="6">
        <f>IF(Tabela5[[#This Row],[Dim_Cenario'[Nome Cenario']]]=Tabela5[[#Headers],[INIC Atual]],Tabela5[[#This Row],['[Valores_cenario']]],0)</f>
        <v>0</v>
      </c>
      <c r="O497" s="6">
        <f>IF(Tabela5[[#This Row],[Dim_Cenario'[Nome Cenario']]]=Tabela5[[#Headers],[Revisado]],Tabela5[[#This Row],['[Valores_cenario']]],0)</f>
        <v>0</v>
      </c>
      <c r="P497" s="6">
        <f>IF(Tabela5[[#This Row],[Dim_Cenario'[Nome Cenario']]]=Tabela5[[#Headers],[Realizado]],Tabela5[[#This Row],['[Valores_cenario']]],0)</f>
        <v>52601.46</v>
      </c>
    </row>
    <row r="498" spans="1:16">
      <c r="A498" t="s">
        <v>17</v>
      </c>
      <c r="B498" t="s">
        <v>18</v>
      </c>
      <c r="C498" t="s">
        <v>37</v>
      </c>
      <c r="D498" t="s">
        <v>15</v>
      </c>
      <c r="E498">
        <v>2019</v>
      </c>
      <c r="F498" t="s">
        <v>21</v>
      </c>
      <c r="G498" t="s">
        <v>32</v>
      </c>
      <c r="H498">
        <v>12</v>
      </c>
      <c r="I498">
        <v>2102.1</v>
      </c>
      <c r="J498" t="s">
        <v>36</v>
      </c>
      <c r="K498" s="3">
        <v>43826</v>
      </c>
      <c r="L498" t="s">
        <v>50</v>
      </c>
      <c r="M498" t="s">
        <v>235</v>
      </c>
      <c r="N498" s="6">
        <f>IF(Tabela5[[#This Row],[Dim_Cenario'[Nome Cenario']]]=Tabela5[[#Headers],[INIC Atual]],Tabela5[[#This Row],['[Valores_cenario']]],0)</f>
        <v>0</v>
      </c>
      <c r="O498" s="6">
        <f>IF(Tabela5[[#This Row],[Dim_Cenario'[Nome Cenario']]]=Tabela5[[#Headers],[Revisado]],Tabela5[[#This Row],['[Valores_cenario']]],0)</f>
        <v>0</v>
      </c>
      <c r="P498" s="6">
        <f>IF(Tabela5[[#This Row],[Dim_Cenario'[Nome Cenario']]]=Tabela5[[#Headers],[Realizado]],Tabela5[[#This Row],['[Valores_cenario']]],0)</f>
        <v>2102.1</v>
      </c>
    </row>
    <row r="499" hidden="1" spans="1:16">
      <c r="A499" t="s">
        <v>97</v>
      </c>
      <c r="B499" t="s">
        <v>18</v>
      </c>
      <c r="C499" t="s">
        <v>98</v>
      </c>
      <c r="D499" t="s">
        <v>15</v>
      </c>
      <c r="E499">
        <v>2019</v>
      </c>
      <c r="F499" t="s">
        <v>27</v>
      </c>
      <c r="G499" t="s">
        <v>28</v>
      </c>
      <c r="H499">
        <v>4</v>
      </c>
      <c r="I499">
        <v>4365</v>
      </c>
      <c r="J499" t="s">
        <v>36</v>
      </c>
      <c r="K499" s="3">
        <v>43585</v>
      </c>
      <c r="L499" t="s">
        <v>213</v>
      </c>
      <c r="M499" t="s">
        <v>236</v>
      </c>
      <c r="N499" s="6">
        <f>IF(Tabela5[[#This Row],[Dim_Cenario'[Nome Cenario']]]=Tabela5[[#Headers],[INIC Atual]],Tabela5[[#This Row],['[Valores_cenario']]],0)</f>
        <v>0</v>
      </c>
      <c r="O499" s="6">
        <f>IF(Tabela5[[#This Row],[Dim_Cenario'[Nome Cenario']]]=Tabela5[[#Headers],[Revisado]],Tabela5[[#This Row],['[Valores_cenario']]],0)</f>
        <v>0</v>
      </c>
      <c r="P499" s="6">
        <f>IF(Tabela5[[#This Row],[Dim_Cenario'[Nome Cenario']]]=Tabela5[[#Headers],[Realizado]],Tabela5[[#This Row],['[Valores_cenario']]],0)</f>
        <v>4365</v>
      </c>
    </row>
    <row r="500" hidden="1" spans="1:16">
      <c r="A500" t="s">
        <v>97</v>
      </c>
      <c r="B500" t="s">
        <v>18</v>
      </c>
      <c r="C500" t="s">
        <v>98</v>
      </c>
      <c r="D500" t="s">
        <v>15</v>
      </c>
      <c r="E500">
        <v>2019</v>
      </c>
      <c r="F500" t="s">
        <v>27</v>
      </c>
      <c r="G500" t="s">
        <v>28</v>
      </c>
      <c r="H500">
        <v>4</v>
      </c>
      <c r="I500">
        <v>2910</v>
      </c>
      <c r="J500" t="s">
        <v>36</v>
      </c>
      <c r="K500" s="3">
        <v>43585</v>
      </c>
      <c r="L500" t="s">
        <v>213</v>
      </c>
      <c r="M500" t="s">
        <v>237</v>
      </c>
      <c r="N500" s="6">
        <f>IF(Tabela5[[#This Row],[Dim_Cenario'[Nome Cenario']]]=Tabela5[[#Headers],[INIC Atual]],Tabela5[[#This Row],['[Valores_cenario']]],0)</f>
        <v>0</v>
      </c>
      <c r="O500" s="6">
        <f>IF(Tabela5[[#This Row],[Dim_Cenario'[Nome Cenario']]]=Tabela5[[#Headers],[Revisado]],Tabela5[[#This Row],['[Valores_cenario']]],0)</f>
        <v>0</v>
      </c>
      <c r="P500" s="6">
        <f>IF(Tabela5[[#This Row],[Dim_Cenario'[Nome Cenario']]]=Tabela5[[#Headers],[Realizado]],Tabela5[[#This Row],['[Valores_cenario']]],0)</f>
        <v>2910</v>
      </c>
    </row>
    <row r="501" hidden="1" spans="1:16">
      <c r="A501" t="s">
        <v>17</v>
      </c>
      <c r="B501" t="s">
        <v>18</v>
      </c>
      <c r="C501" t="s">
        <v>37</v>
      </c>
      <c r="D501" t="s">
        <v>15</v>
      </c>
      <c r="E501">
        <v>2022</v>
      </c>
      <c r="F501" t="s">
        <v>30</v>
      </c>
      <c r="G501" t="s">
        <v>40</v>
      </c>
      <c r="H501">
        <v>7</v>
      </c>
      <c r="I501">
        <v>15660</v>
      </c>
      <c r="J501" t="s">
        <v>23</v>
      </c>
      <c r="K501" s="3">
        <v>44771</v>
      </c>
      <c r="L501" t="s">
        <v>122</v>
      </c>
      <c r="M501" t="s">
        <v>238</v>
      </c>
      <c r="N501" s="6">
        <f>IF(Tabela5[[#This Row],[Dim_Cenario'[Nome Cenario']]]=Tabela5[[#Headers],[INIC Atual]],Tabela5[[#This Row],['[Valores_cenario']]],0)</f>
        <v>0</v>
      </c>
      <c r="O501" s="6">
        <f>IF(Tabela5[[#This Row],[Dim_Cenario'[Nome Cenario']]]=Tabela5[[#Headers],[Revisado]],Tabela5[[#This Row],['[Valores_cenario']]],0)</f>
        <v>0</v>
      </c>
      <c r="P501" s="6">
        <f>IF(Tabela5[[#This Row],[Dim_Cenario'[Nome Cenario']]]=Tabela5[[#Headers],[Realizado]],Tabela5[[#This Row],['[Valores_cenario']]],0)</f>
        <v>15660</v>
      </c>
    </row>
    <row r="502" spans="1:16">
      <c r="A502" t="s">
        <v>17</v>
      </c>
      <c r="B502" t="s">
        <v>18</v>
      </c>
      <c r="C502" t="s">
        <v>37</v>
      </c>
      <c r="D502" t="s">
        <v>15</v>
      </c>
      <c r="E502">
        <v>2021</v>
      </c>
      <c r="F502" t="s">
        <v>25</v>
      </c>
      <c r="G502" t="s">
        <v>38</v>
      </c>
      <c r="H502">
        <v>3</v>
      </c>
      <c r="I502">
        <v>2100</v>
      </c>
      <c r="J502" t="s">
        <v>36</v>
      </c>
      <c r="K502" s="3">
        <v>44284</v>
      </c>
      <c r="L502" t="s">
        <v>239</v>
      </c>
      <c r="M502" t="s">
        <v>240</v>
      </c>
      <c r="N502" s="6">
        <f>IF(Tabela5[[#This Row],[Dim_Cenario'[Nome Cenario']]]=Tabela5[[#Headers],[INIC Atual]],Tabela5[[#This Row],['[Valores_cenario']]],0)</f>
        <v>0</v>
      </c>
      <c r="O502" s="6">
        <f>IF(Tabela5[[#This Row],[Dim_Cenario'[Nome Cenario']]]=Tabela5[[#Headers],[Revisado]],Tabela5[[#This Row],['[Valores_cenario']]],0)</f>
        <v>0</v>
      </c>
      <c r="P502" s="6">
        <f>IF(Tabela5[[#This Row],[Dim_Cenario'[Nome Cenario']]]=Tabela5[[#Headers],[Realizado]],Tabela5[[#This Row],['[Valores_cenario']]],0)</f>
        <v>2100</v>
      </c>
    </row>
    <row r="503" spans="1:16">
      <c r="A503" t="s">
        <v>17</v>
      </c>
      <c r="B503" t="s">
        <v>18</v>
      </c>
      <c r="C503" t="s">
        <v>37</v>
      </c>
      <c r="D503" t="s">
        <v>15</v>
      </c>
      <c r="E503">
        <v>2024</v>
      </c>
      <c r="F503" t="s">
        <v>21</v>
      </c>
      <c r="G503" t="s">
        <v>24</v>
      </c>
      <c r="H503">
        <v>11</v>
      </c>
      <c r="I503">
        <v>2000</v>
      </c>
      <c r="J503" t="s">
        <v>23</v>
      </c>
      <c r="K503" s="3">
        <v>45625</v>
      </c>
      <c r="L503" t="s">
        <v>241</v>
      </c>
      <c r="M503" t="s">
        <v>242</v>
      </c>
      <c r="N503" s="6">
        <f>IF(Tabela5[[#This Row],[Dim_Cenario'[Nome Cenario']]]=Tabela5[[#Headers],[INIC Atual]],Tabela5[[#This Row],['[Valores_cenario']]],0)</f>
        <v>0</v>
      </c>
      <c r="O503" s="6">
        <f>IF(Tabela5[[#This Row],[Dim_Cenario'[Nome Cenario']]]=Tabela5[[#Headers],[Revisado]],Tabela5[[#This Row],['[Valores_cenario']]],0)</f>
        <v>0</v>
      </c>
      <c r="P503" s="6">
        <f>IF(Tabela5[[#This Row],[Dim_Cenario'[Nome Cenario']]]=Tabela5[[#Headers],[Realizado]],Tabela5[[#This Row],['[Valores_cenario']]],0)</f>
        <v>2000</v>
      </c>
    </row>
    <row r="504" hidden="1" spans="1:16">
      <c r="A504" t="s">
        <v>17</v>
      </c>
      <c r="B504" t="s">
        <v>18</v>
      </c>
      <c r="C504" t="s">
        <v>37</v>
      </c>
      <c r="D504" t="s">
        <v>15</v>
      </c>
      <c r="E504">
        <v>2022</v>
      </c>
      <c r="F504" t="s">
        <v>30</v>
      </c>
      <c r="G504" t="s">
        <v>31</v>
      </c>
      <c r="H504">
        <v>8</v>
      </c>
      <c r="I504">
        <v>19880</v>
      </c>
      <c r="J504" t="s">
        <v>23</v>
      </c>
      <c r="K504" s="3">
        <v>44792</v>
      </c>
      <c r="L504" t="s">
        <v>166</v>
      </c>
      <c r="M504" t="s">
        <v>243</v>
      </c>
      <c r="N504" s="6">
        <f>IF(Tabela5[[#This Row],[Dim_Cenario'[Nome Cenario']]]=Tabela5[[#Headers],[INIC Atual]],Tabela5[[#This Row],['[Valores_cenario']]],0)</f>
        <v>0</v>
      </c>
      <c r="O504" s="6">
        <f>IF(Tabela5[[#This Row],[Dim_Cenario'[Nome Cenario']]]=Tabela5[[#Headers],[Revisado]],Tabela5[[#This Row],['[Valores_cenario']]],0)</f>
        <v>0</v>
      </c>
      <c r="P504" s="6">
        <f>IF(Tabela5[[#This Row],[Dim_Cenario'[Nome Cenario']]]=Tabela5[[#Headers],[Realizado]],Tabela5[[#This Row],['[Valores_cenario']]],0)</f>
        <v>19880</v>
      </c>
    </row>
    <row r="505" hidden="1" spans="1:16">
      <c r="A505" t="s">
        <v>17</v>
      </c>
      <c r="B505" t="s">
        <v>18</v>
      </c>
      <c r="C505" t="s">
        <v>37</v>
      </c>
      <c r="D505" t="s">
        <v>15</v>
      </c>
      <c r="E505">
        <v>2022</v>
      </c>
      <c r="F505" t="s">
        <v>30</v>
      </c>
      <c r="G505" t="s">
        <v>41</v>
      </c>
      <c r="H505">
        <v>9</v>
      </c>
      <c r="I505">
        <v>21475</v>
      </c>
      <c r="J505" t="s">
        <v>23</v>
      </c>
      <c r="K505" s="3">
        <v>44812</v>
      </c>
      <c r="L505" t="s">
        <v>244</v>
      </c>
      <c r="M505" t="s">
        <v>245</v>
      </c>
      <c r="N505" s="6">
        <f>IF(Tabela5[[#This Row],[Dim_Cenario'[Nome Cenario']]]=Tabela5[[#Headers],[INIC Atual]],Tabela5[[#This Row],['[Valores_cenario']]],0)</f>
        <v>0</v>
      </c>
      <c r="O505" s="6">
        <f>IF(Tabela5[[#This Row],[Dim_Cenario'[Nome Cenario']]]=Tabela5[[#Headers],[Revisado]],Tabela5[[#This Row],['[Valores_cenario']]],0)</f>
        <v>0</v>
      </c>
      <c r="P505" s="6">
        <f>IF(Tabela5[[#This Row],[Dim_Cenario'[Nome Cenario']]]=Tabela5[[#Headers],[Realizado]],Tabela5[[#This Row],['[Valores_cenario']]],0)</f>
        <v>21475</v>
      </c>
    </row>
    <row r="506" hidden="1" spans="1:16">
      <c r="A506" t="s">
        <v>17</v>
      </c>
      <c r="B506" t="s">
        <v>18</v>
      </c>
      <c r="C506" t="s">
        <v>37</v>
      </c>
      <c r="D506" t="s">
        <v>15</v>
      </c>
      <c r="E506">
        <v>2022</v>
      </c>
      <c r="F506" t="s">
        <v>30</v>
      </c>
      <c r="G506" t="s">
        <v>41</v>
      </c>
      <c r="H506">
        <v>9</v>
      </c>
      <c r="I506">
        <v>65562.18</v>
      </c>
      <c r="J506" t="s">
        <v>23</v>
      </c>
      <c r="K506" s="3">
        <v>44832</v>
      </c>
      <c r="L506" t="s">
        <v>246</v>
      </c>
      <c r="M506" t="s">
        <v>247</v>
      </c>
      <c r="N506" s="6">
        <f>IF(Tabela5[[#This Row],[Dim_Cenario'[Nome Cenario']]]=Tabela5[[#Headers],[INIC Atual]],Tabela5[[#This Row],['[Valores_cenario']]],0)</f>
        <v>0</v>
      </c>
      <c r="O506" s="6">
        <f>IF(Tabela5[[#This Row],[Dim_Cenario'[Nome Cenario']]]=Tabela5[[#Headers],[Revisado]],Tabela5[[#This Row],['[Valores_cenario']]],0)</f>
        <v>0</v>
      </c>
      <c r="P506" s="6">
        <f>IF(Tabela5[[#This Row],[Dim_Cenario'[Nome Cenario']]]=Tabela5[[#Headers],[Realizado]],Tabela5[[#This Row],['[Valores_cenario']]],0)</f>
        <v>65562.18</v>
      </c>
    </row>
    <row r="507" spans="1:16">
      <c r="A507" t="s">
        <v>17</v>
      </c>
      <c r="B507" t="s">
        <v>18</v>
      </c>
      <c r="C507" t="s">
        <v>37</v>
      </c>
      <c r="D507" t="s">
        <v>15</v>
      </c>
      <c r="E507">
        <v>2019</v>
      </c>
      <c r="F507" t="s">
        <v>27</v>
      </c>
      <c r="G507" t="s">
        <v>28</v>
      </c>
      <c r="H507">
        <v>4</v>
      </c>
      <c r="I507">
        <v>1964.35</v>
      </c>
      <c r="J507" t="s">
        <v>36</v>
      </c>
      <c r="K507" s="3">
        <v>43584</v>
      </c>
      <c r="L507" t="s">
        <v>248</v>
      </c>
      <c r="M507" t="s">
        <v>249</v>
      </c>
      <c r="N507" s="6">
        <f>IF(Tabela5[[#This Row],[Dim_Cenario'[Nome Cenario']]]=Tabela5[[#Headers],[INIC Atual]],Tabela5[[#This Row],['[Valores_cenario']]],0)</f>
        <v>0</v>
      </c>
      <c r="O507" s="6">
        <f>IF(Tabela5[[#This Row],[Dim_Cenario'[Nome Cenario']]]=Tabela5[[#Headers],[Revisado]],Tabela5[[#This Row],['[Valores_cenario']]],0)</f>
        <v>0</v>
      </c>
      <c r="P507" s="6">
        <f>IF(Tabela5[[#This Row],[Dim_Cenario'[Nome Cenario']]]=Tabela5[[#Headers],[Realizado]],Tabela5[[#This Row],['[Valores_cenario']]],0)</f>
        <v>1964.35</v>
      </c>
    </row>
    <row r="508" spans="1:16">
      <c r="A508" t="s">
        <v>17</v>
      </c>
      <c r="B508" t="s">
        <v>18</v>
      </c>
      <c r="C508" t="s">
        <v>37</v>
      </c>
      <c r="D508" t="s">
        <v>15</v>
      </c>
      <c r="E508">
        <v>2019</v>
      </c>
      <c r="F508" t="s">
        <v>30</v>
      </c>
      <c r="G508" t="s">
        <v>41</v>
      </c>
      <c r="H508">
        <v>9</v>
      </c>
      <c r="I508">
        <v>1944.3</v>
      </c>
      <c r="J508" t="s">
        <v>36</v>
      </c>
      <c r="K508" s="3">
        <v>43720</v>
      </c>
      <c r="L508" t="s">
        <v>48</v>
      </c>
      <c r="M508" t="s">
        <v>250</v>
      </c>
      <c r="N508" s="6">
        <f>IF(Tabela5[[#This Row],[Dim_Cenario'[Nome Cenario']]]=Tabela5[[#Headers],[INIC Atual]],Tabela5[[#This Row],['[Valores_cenario']]],0)</f>
        <v>0</v>
      </c>
      <c r="O508" s="6">
        <f>IF(Tabela5[[#This Row],[Dim_Cenario'[Nome Cenario']]]=Tabela5[[#Headers],[Revisado]],Tabela5[[#This Row],['[Valores_cenario']]],0)</f>
        <v>0</v>
      </c>
      <c r="P508" s="6">
        <f>IF(Tabela5[[#This Row],[Dim_Cenario'[Nome Cenario']]]=Tabela5[[#Headers],[Realizado]],Tabela5[[#This Row],['[Valores_cenario']]],0)</f>
        <v>1944.3</v>
      </c>
    </row>
    <row r="509" spans="1:16">
      <c r="A509" t="s">
        <v>17</v>
      </c>
      <c r="B509" t="s">
        <v>18</v>
      </c>
      <c r="C509" t="s">
        <v>37</v>
      </c>
      <c r="D509" t="s">
        <v>15</v>
      </c>
      <c r="E509">
        <v>2024</v>
      </c>
      <c r="F509" t="s">
        <v>30</v>
      </c>
      <c r="G509" t="s">
        <v>41</v>
      </c>
      <c r="H509">
        <v>9</v>
      </c>
      <c r="I509">
        <v>1883.7</v>
      </c>
      <c r="J509" t="s">
        <v>23</v>
      </c>
      <c r="K509" s="3">
        <v>45565</v>
      </c>
      <c r="L509" t="s">
        <v>50</v>
      </c>
      <c r="M509" t="s">
        <v>251</v>
      </c>
      <c r="N509" s="6">
        <f>IF(Tabela5[[#This Row],[Dim_Cenario'[Nome Cenario']]]=Tabela5[[#Headers],[INIC Atual]],Tabela5[[#This Row],['[Valores_cenario']]],0)</f>
        <v>0</v>
      </c>
      <c r="O509" s="6">
        <f>IF(Tabela5[[#This Row],[Dim_Cenario'[Nome Cenario']]]=Tabela5[[#Headers],[Revisado]],Tabela5[[#This Row],['[Valores_cenario']]],0)</f>
        <v>0</v>
      </c>
      <c r="P509" s="6">
        <f>IF(Tabela5[[#This Row],[Dim_Cenario'[Nome Cenario']]]=Tabela5[[#Headers],[Realizado]],Tabela5[[#This Row],['[Valores_cenario']]],0)</f>
        <v>1883.7</v>
      </c>
    </row>
    <row r="510" hidden="1" spans="1:16">
      <c r="A510" t="s">
        <v>97</v>
      </c>
      <c r="B510" t="s">
        <v>18</v>
      </c>
      <c r="C510" t="s">
        <v>98</v>
      </c>
      <c r="D510" t="s">
        <v>15</v>
      </c>
      <c r="E510">
        <v>2019</v>
      </c>
      <c r="F510" t="s">
        <v>27</v>
      </c>
      <c r="G510" t="s">
        <v>39</v>
      </c>
      <c r="H510">
        <v>5</v>
      </c>
      <c r="I510">
        <v>4365</v>
      </c>
      <c r="J510" t="s">
        <v>36</v>
      </c>
      <c r="K510" s="3">
        <v>43615</v>
      </c>
      <c r="L510" t="s">
        <v>213</v>
      </c>
      <c r="M510" t="s">
        <v>252</v>
      </c>
      <c r="N510" s="6">
        <f>IF(Tabela5[[#This Row],[Dim_Cenario'[Nome Cenario']]]=Tabela5[[#Headers],[INIC Atual]],Tabela5[[#This Row],['[Valores_cenario']]],0)</f>
        <v>0</v>
      </c>
      <c r="O510" s="6">
        <f>IF(Tabela5[[#This Row],[Dim_Cenario'[Nome Cenario']]]=Tabela5[[#Headers],[Revisado]],Tabela5[[#This Row],['[Valores_cenario']]],0)</f>
        <v>0</v>
      </c>
      <c r="P510" s="6">
        <f>IF(Tabela5[[#This Row],[Dim_Cenario'[Nome Cenario']]]=Tabela5[[#Headers],[Realizado]],Tabela5[[#This Row],['[Valores_cenario']]],0)</f>
        <v>4365</v>
      </c>
    </row>
    <row r="511" hidden="1" spans="1:16">
      <c r="A511" t="s">
        <v>97</v>
      </c>
      <c r="B511" t="s">
        <v>18</v>
      </c>
      <c r="C511" t="s">
        <v>98</v>
      </c>
      <c r="D511" t="s">
        <v>15</v>
      </c>
      <c r="E511">
        <v>2019</v>
      </c>
      <c r="F511" t="s">
        <v>27</v>
      </c>
      <c r="G511" t="s">
        <v>39</v>
      </c>
      <c r="H511">
        <v>5</v>
      </c>
      <c r="I511">
        <v>8002.5</v>
      </c>
      <c r="J511" t="s">
        <v>36</v>
      </c>
      <c r="K511" s="3">
        <v>43615</v>
      </c>
      <c r="L511" t="s">
        <v>213</v>
      </c>
      <c r="M511" t="s">
        <v>253</v>
      </c>
      <c r="N511" s="6">
        <f>IF(Tabela5[[#This Row],[Dim_Cenario'[Nome Cenario']]]=Tabela5[[#Headers],[INIC Atual]],Tabela5[[#This Row],['[Valores_cenario']]],0)</f>
        <v>0</v>
      </c>
      <c r="O511" s="6">
        <f>IF(Tabela5[[#This Row],[Dim_Cenario'[Nome Cenario']]]=Tabela5[[#Headers],[Revisado]],Tabela5[[#This Row],['[Valores_cenario']]],0)</f>
        <v>0</v>
      </c>
      <c r="P511" s="6">
        <f>IF(Tabela5[[#This Row],[Dim_Cenario'[Nome Cenario']]]=Tabela5[[#Headers],[Realizado]],Tabela5[[#This Row],['[Valores_cenario']]],0)</f>
        <v>8002.5</v>
      </c>
    </row>
    <row r="512" hidden="1" spans="1:16">
      <c r="A512" t="s">
        <v>17</v>
      </c>
      <c r="B512" t="s">
        <v>18</v>
      </c>
      <c r="C512" t="s">
        <v>37</v>
      </c>
      <c r="D512" t="s">
        <v>15</v>
      </c>
      <c r="E512">
        <v>2022</v>
      </c>
      <c r="F512" t="s">
        <v>21</v>
      </c>
      <c r="G512" t="s">
        <v>22</v>
      </c>
      <c r="H512">
        <v>10</v>
      </c>
      <c r="I512">
        <v>29389.35</v>
      </c>
      <c r="J512" t="s">
        <v>23</v>
      </c>
      <c r="K512" s="3">
        <v>44854</v>
      </c>
      <c r="L512" t="s">
        <v>254</v>
      </c>
      <c r="M512" t="s">
        <v>255</v>
      </c>
      <c r="N512" s="6">
        <f>IF(Tabela5[[#This Row],[Dim_Cenario'[Nome Cenario']]]=Tabela5[[#Headers],[INIC Atual]],Tabela5[[#This Row],['[Valores_cenario']]],0)</f>
        <v>0</v>
      </c>
      <c r="O512" s="6">
        <f>IF(Tabela5[[#This Row],[Dim_Cenario'[Nome Cenario']]]=Tabela5[[#Headers],[Revisado]],Tabela5[[#This Row],['[Valores_cenario']]],0)</f>
        <v>0</v>
      </c>
      <c r="P512" s="6">
        <f>IF(Tabela5[[#This Row],[Dim_Cenario'[Nome Cenario']]]=Tabela5[[#Headers],[Realizado]],Tabela5[[#This Row],['[Valores_cenario']]],0)</f>
        <v>29389.35</v>
      </c>
    </row>
    <row r="513" spans="1:16">
      <c r="A513" t="s">
        <v>17</v>
      </c>
      <c r="B513" t="s">
        <v>18</v>
      </c>
      <c r="C513" t="s">
        <v>37</v>
      </c>
      <c r="D513" t="s">
        <v>15</v>
      </c>
      <c r="E513">
        <v>2022</v>
      </c>
      <c r="F513" t="s">
        <v>30</v>
      </c>
      <c r="G513" t="s">
        <v>40</v>
      </c>
      <c r="H513">
        <v>7</v>
      </c>
      <c r="I513">
        <v>1824</v>
      </c>
      <c r="J513" t="s">
        <v>23</v>
      </c>
      <c r="K513" s="3">
        <v>44753</v>
      </c>
      <c r="L513" t="s">
        <v>256</v>
      </c>
      <c r="M513" t="s">
        <v>257</v>
      </c>
      <c r="N513" s="6">
        <f>IF(Tabela5[[#This Row],[Dim_Cenario'[Nome Cenario']]]=Tabela5[[#Headers],[INIC Atual]],Tabela5[[#This Row],['[Valores_cenario']]],0)</f>
        <v>0</v>
      </c>
      <c r="O513" s="6">
        <f>IF(Tabela5[[#This Row],[Dim_Cenario'[Nome Cenario']]]=Tabela5[[#Headers],[Revisado]],Tabela5[[#This Row],['[Valores_cenario']]],0)</f>
        <v>0</v>
      </c>
      <c r="P513" s="6">
        <f>IF(Tabela5[[#This Row],[Dim_Cenario'[Nome Cenario']]]=Tabela5[[#Headers],[Realizado]],Tabela5[[#This Row],['[Valores_cenario']]],0)</f>
        <v>1824</v>
      </c>
    </row>
    <row r="514" spans="1:16">
      <c r="A514" t="s">
        <v>17</v>
      </c>
      <c r="B514" t="s">
        <v>18</v>
      </c>
      <c r="C514" t="s">
        <v>37</v>
      </c>
      <c r="D514" t="s">
        <v>15</v>
      </c>
      <c r="E514">
        <v>2022</v>
      </c>
      <c r="F514" t="s">
        <v>30</v>
      </c>
      <c r="G514" t="s">
        <v>40</v>
      </c>
      <c r="H514">
        <v>7</v>
      </c>
      <c r="I514">
        <v>1824</v>
      </c>
      <c r="J514" t="s">
        <v>23</v>
      </c>
      <c r="K514" s="3">
        <v>44754</v>
      </c>
      <c r="L514" t="s">
        <v>258</v>
      </c>
      <c r="M514" t="s">
        <v>259</v>
      </c>
      <c r="N514" s="6">
        <f>IF(Tabela5[[#This Row],[Dim_Cenario'[Nome Cenario']]]=Tabela5[[#Headers],[INIC Atual]],Tabela5[[#This Row],['[Valores_cenario']]],0)</f>
        <v>0</v>
      </c>
      <c r="O514" s="6">
        <f>IF(Tabela5[[#This Row],[Dim_Cenario'[Nome Cenario']]]=Tabela5[[#Headers],[Revisado]],Tabela5[[#This Row],['[Valores_cenario']]],0)</f>
        <v>0</v>
      </c>
      <c r="P514" s="6">
        <f>IF(Tabela5[[#This Row],[Dim_Cenario'[Nome Cenario']]]=Tabela5[[#Headers],[Realizado]],Tabela5[[#This Row],['[Valores_cenario']]],0)</f>
        <v>1824</v>
      </c>
    </row>
    <row r="515" hidden="1" spans="1:16">
      <c r="A515" t="s">
        <v>97</v>
      </c>
      <c r="B515" t="s">
        <v>18</v>
      </c>
      <c r="C515" t="s">
        <v>98</v>
      </c>
      <c r="D515" t="s">
        <v>15</v>
      </c>
      <c r="E515">
        <v>2019</v>
      </c>
      <c r="F515" t="s">
        <v>27</v>
      </c>
      <c r="G515" t="s">
        <v>29</v>
      </c>
      <c r="H515">
        <v>6</v>
      </c>
      <c r="I515">
        <v>2328</v>
      </c>
      <c r="J515" t="s">
        <v>36</v>
      </c>
      <c r="K515" s="3">
        <v>43644</v>
      </c>
      <c r="L515" t="s">
        <v>213</v>
      </c>
      <c r="M515" t="s">
        <v>260</v>
      </c>
      <c r="N515" s="6">
        <f>IF(Tabela5[[#This Row],[Dim_Cenario'[Nome Cenario']]]=Tabela5[[#Headers],[INIC Atual]],Tabela5[[#This Row],['[Valores_cenario']]],0)</f>
        <v>0</v>
      </c>
      <c r="O515" s="6">
        <f>IF(Tabela5[[#This Row],[Dim_Cenario'[Nome Cenario']]]=Tabela5[[#Headers],[Revisado]],Tabela5[[#This Row],['[Valores_cenario']]],0)</f>
        <v>0</v>
      </c>
      <c r="P515" s="6">
        <f>IF(Tabela5[[#This Row],[Dim_Cenario'[Nome Cenario']]]=Tabela5[[#Headers],[Realizado]],Tabela5[[#This Row],['[Valores_cenario']]],0)</f>
        <v>2328</v>
      </c>
    </row>
    <row r="516" hidden="1" spans="1:16">
      <c r="A516" t="s">
        <v>97</v>
      </c>
      <c r="B516" t="s">
        <v>18</v>
      </c>
      <c r="C516" t="s">
        <v>98</v>
      </c>
      <c r="D516" t="s">
        <v>15</v>
      </c>
      <c r="E516">
        <v>2019</v>
      </c>
      <c r="F516" t="s">
        <v>27</v>
      </c>
      <c r="G516" t="s">
        <v>29</v>
      </c>
      <c r="H516">
        <v>6</v>
      </c>
      <c r="I516">
        <v>2910</v>
      </c>
      <c r="J516" t="s">
        <v>36</v>
      </c>
      <c r="K516" s="3">
        <v>43644</v>
      </c>
      <c r="L516" t="s">
        <v>213</v>
      </c>
      <c r="M516" t="s">
        <v>261</v>
      </c>
      <c r="N516" s="6">
        <f>IF(Tabela5[[#This Row],[Dim_Cenario'[Nome Cenario']]]=Tabela5[[#Headers],[INIC Atual]],Tabela5[[#This Row],['[Valores_cenario']]],0)</f>
        <v>0</v>
      </c>
      <c r="O516" s="6">
        <f>IF(Tabela5[[#This Row],[Dim_Cenario'[Nome Cenario']]]=Tabela5[[#Headers],[Revisado]],Tabela5[[#This Row],['[Valores_cenario']]],0)</f>
        <v>0</v>
      </c>
      <c r="P516" s="6">
        <f>IF(Tabela5[[#This Row],[Dim_Cenario'[Nome Cenario']]]=Tabela5[[#Headers],[Realizado]],Tabela5[[#This Row],['[Valores_cenario']]],0)</f>
        <v>2910</v>
      </c>
    </row>
    <row r="517" hidden="1" spans="1:16">
      <c r="A517" t="s">
        <v>97</v>
      </c>
      <c r="B517" t="s">
        <v>18</v>
      </c>
      <c r="C517" t="s">
        <v>98</v>
      </c>
      <c r="D517" t="s">
        <v>15</v>
      </c>
      <c r="E517">
        <v>2019</v>
      </c>
      <c r="F517" t="s">
        <v>27</v>
      </c>
      <c r="G517" t="s">
        <v>29</v>
      </c>
      <c r="H517">
        <v>6</v>
      </c>
      <c r="I517">
        <v>727.5</v>
      </c>
      <c r="J517" t="s">
        <v>36</v>
      </c>
      <c r="K517" s="3">
        <v>43644</v>
      </c>
      <c r="L517" t="s">
        <v>213</v>
      </c>
      <c r="M517" t="s">
        <v>262</v>
      </c>
      <c r="N517" s="6">
        <f>IF(Tabela5[[#This Row],[Dim_Cenario'[Nome Cenario']]]=Tabela5[[#Headers],[INIC Atual]],Tabela5[[#This Row],['[Valores_cenario']]],0)</f>
        <v>0</v>
      </c>
      <c r="O517" s="6">
        <f>IF(Tabela5[[#This Row],[Dim_Cenario'[Nome Cenario']]]=Tabela5[[#Headers],[Revisado]],Tabela5[[#This Row],['[Valores_cenario']]],0)</f>
        <v>0</v>
      </c>
      <c r="P517" s="6">
        <f>IF(Tabela5[[#This Row],[Dim_Cenario'[Nome Cenario']]]=Tabela5[[#Headers],[Realizado]],Tabela5[[#This Row],['[Valores_cenario']]],0)</f>
        <v>727.5</v>
      </c>
    </row>
    <row r="518" hidden="1" spans="1:16">
      <c r="A518" t="s">
        <v>97</v>
      </c>
      <c r="B518" t="s">
        <v>18</v>
      </c>
      <c r="C518" t="s">
        <v>98</v>
      </c>
      <c r="D518" t="s">
        <v>15</v>
      </c>
      <c r="E518">
        <v>2019</v>
      </c>
      <c r="F518" t="s">
        <v>27</v>
      </c>
      <c r="G518" t="s">
        <v>29</v>
      </c>
      <c r="H518">
        <v>6</v>
      </c>
      <c r="I518">
        <v>6547.5</v>
      </c>
      <c r="J518" t="s">
        <v>36</v>
      </c>
      <c r="K518" s="3">
        <v>43644</v>
      </c>
      <c r="L518" t="s">
        <v>213</v>
      </c>
      <c r="M518" t="s">
        <v>263</v>
      </c>
      <c r="N518" s="6">
        <f>IF(Tabela5[[#This Row],[Dim_Cenario'[Nome Cenario']]]=Tabela5[[#Headers],[INIC Atual]],Tabela5[[#This Row],['[Valores_cenario']]],0)</f>
        <v>0</v>
      </c>
      <c r="O518" s="6">
        <f>IF(Tabela5[[#This Row],[Dim_Cenario'[Nome Cenario']]]=Tabela5[[#Headers],[Revisado]],Tabela5[[#This Row],['[Valores_cenario']]],0)</f>
        <v>0</v>
      </c>
      <c r="P518" s="6">
        <f>IF(Tabela5[[#This Row],[Dim_Cenario'[Nome Cenario']]]=Tabela5[[#Headers],[Realizado]],Tabela5[[#This Row],['[Valores_cenario']]],0)</f>
        <v>6547.5</v>
      </c>
    </row>
    <row r="519" spans="1:16">
      <c r="A519" t="s">
        <v>17</v>
      </c>
      <c r="B519" t="s">
        <v>18</v>
      </c>
      <c r="C519" t="s">
        <v>37</v>
      </c>
      <c r="D519" t="s">
        <v>15</v>
      </c>
      <c r="E519">
        <v>2019</v>
      </c>
      <c r="F519" t="s">
        <v>27</v>
      </c>
      <c r="G519" t="s">
        <v>39</v>
      </c>
      <c r="H519">
        <v>5</v>
      </c>
      <c r="I519">
        <v>1813</v>
      </c>
      <c r="J519" t="s">
        <v>36</v>
      </c>
      <c r="K519" s="3">
        <v>43592</v>
      </c>
      <c r="L519" t="s">
        <v>264</v>
      </c>
      <c r="M519" t="s">
        <v>265</v>
      </c>
      <c r="N519" s="6">
        <f>IF(Tabela5[[#This Row],[Dim_Cenario'[Nome Cenario']]]=Tabela5[[#Headers],[INIC Atual]],Tabela5[[#This Row],['[Valores_cenario']]],0)</f>
        <v>0</v>
      </c>
      <c r="O519" s="6">
        <f>IF(Tabela5[[#This Row],[Dim_Cenario'[Nome Cenario']]]=Tabela5[[#Headers],[Revisado]],Tabela5[[#This Row],['[Valores_cenario']]],0)</f>
        <v>0</v>
      </c>
      <c r="P519" s="6">
        <f>IF(Tabela5[[#This Row],[Dim_Cenario'[Nome Cenario']]]=Tabela5[[#Headers],[Realizado]],Tabela5[[#This Row],['[Valores_cenario']]],0)</f>
        <v>1813</v>
      </c>
    </row>
    <row r="520" hidden="1" spans="1:16">
      <c r="A520" t="s">
        <v>97</v>
      </c>
      <c r="B520" t="s">
        <v>18</v>
      </c>
      <c r="C520" t="s">
        <v>98</v>
      </c>
      <c r="D520" t="s">
        <v>15</v>
      </c>
      <c r="E520">
        <v>2019</v>
      </c>
      <c r="F520" t="s">
        <v>30</v>
      </c>
      <c r="G520" t="s">
        <v>40</v>
      </c>
      <c r="H520">
        <v>7</v>
      </c>
      <c r="I520">
        <v>37147.5</v>
      </c>
      <c r="J520" t="s">
        <v>36</v>
      </c>
      <c r="K520" s="3">
        <v>43677</v>
      </c>
      <c r="L520" t="s">
        <v>213</v>
      </c>
      <c r="M520" t="s">
        <v>266</v>
      </c>
      <c r="N520" s="6">
        <f>IF(Tabela5[[#This Row],[Dim_Cenario'[Nome Cenario']]]=Tabela5[[#Headers],[INIC Atual]],Tabela5[[#This Row],['[Valores_cenario']]],0)</f>
        <v>0</v>
      </c>
      <c r="O520" s="6">
        <f>IF(Tabela5[[#This Row],[Dim_Cenario'[Nome Cenario']]]=Tabela5[[#Headers],[Revisado]],Tabela5[[#This Row],['[Valores_cenario']]],0)</f>
        <v>0</v>
      </c>
      <c r="P520" s="6">
        <f>IF(Tabela5[[#This Row],[Dim_Cenario'[Nome Cenario']]]=Tabela5[[#Headers],[Realizado]],Tabela5[[#This Row],['[Valores_cenario']]],0)</f>
        <v>37147.5</v>
      </c>
    </row>
    <row r="521" hidden="1" spans="1:16">
      <c r="A521" t="s">
        <v>97</v>
      </c>
      <c r="B521" t="s">
        <v>18</v>
      </c>
      <c r="C521" t="s">
        <v>98</v>
      </c>
      <c r="D521" t="s">
        <v>15</v>
      </c>
      <c r="E521">
        <v>2019</v>
      </c>
      <c r="F521" t="s">
        <v>30</v>
      </c>
      <c r="G521" t="s">
        <v>31</v>
      </c>
      <c r="H521">
        <v>8</v>
      </c>
      <c r="I521">
        <v>-37147.5</v>
      </c>
      <c r="J521" t="s">
        <v>36</v>
      </c>
      <c r="K521" s="3">
        <v>43678</v>
      </c>
      <c r="L521" t="s">
        <v>213</v>
      </c>
      <c r="M521" t="s">
        <v>267</v>
      </c>
      <c r="N521" s="6">
        <f>IF(Tabela5[[#This Row],[Dim_Cenario'[Nome Cenario']]]=Tabela5[[#Headers],[INIC Atual]],Tabela5[[#This Row],['[Valores_cenario']]],0)</f>
        <v>0</v>
      </c>
      <c r="O521" s="6">
        <f>IF(Tabela5[[#This Row],[Dim_Cenario'[Nome Cenario']]]=Tabela5[[#Headers],[Revisado]],Tabela5[[#This Row],['[Valores_cenario']]],0)</f>
        <v>0</v>
      </c>
      <c r="P521" s="6">
        <f>IF(Tabela5[[#This Row],[Dim_Cenario'[Nome Cenario']]]=Tabela5[[#Headers],[Realizado]],Tabela5[[#This Row],['[Valores_cenario']]],0)</f>
        <v>-37147.5</v>
      </c>
    </row>
    <row r="522" hidden="1" spans="1:16">
      <c r="A522" t="s">
        <v>97</v>
      </c>
      <c r="B522" t="s">
        <v>18</v>
      </c>
      <c r="C522" t="s">
        <v>98</v>
      </c>
      <c r="D522" t="s">
        <v>15</v>
      </c>
      <c r="E522">
        <v>2019</v>
      </c>
      <c r="F522" t="s">
        <v>30</v>
      </c>
      <c r="G522" t="s">
        <v>31</v>
      </c>
      <c r="H522">
        <v>8</v>
      </c>
      <c r="I522">
        <v>4365</v>
      </c>
      <c r="J522" t="s">
        <v>36</v>
      </c>
      <c r="K522" s="3">
        <v>43679</v>
      </c>
      <c r="L522" t="s">
        <v>213</v>
      </c>
      <c r="M522" t="s">
        <v>268</v>
      </c>
      <c r="N522" s="6">
        <f>IF(Tabela5[[#This Row],[Dim_Cenario'[Nome Cenario']]]=Tabela5[[#Headers],[INIC Atual]],Tabela5[[#This Row],['[Valores_cenario']]],0)</f>
        <v>0</v>
      </c>
      <c r="O522" s="6">
        <f>IF(Tabela5[[#This Row],[Dim_Cenario'[Nome Cenario']]]=Tabela5[[#Headers],[Revisado]],Tabela5[[#This Row],['[Valores_cenario']]],0)</f>
        <v>0</v>
      </c>
      <c r="P522" s="6">
        <f>IF(Tabela5[[#This Row],[Dim_Cenario'[Nome Cenario']]]=Tabela5[[#Headers],[Realizado]],Tabela5[[#This Row],['[Valores_cenario']]],0)</f>
        <v>4365</v>
      </c>
    </row>
    <row r="523" hidden="1" spans="1:16">
      <c r="A523" t="s">
        <v>97</v>
      </c>
      <c r="B523" t="s">
        <v>18</v>
      </c>
      <c r="C523" t="s">
        <v>98</v>
      </c>
      <c r="D523" t="s">
        <v>15</v>
      </c>
      <c r="E523">
        <v>2019</v>
      </c>
      <c r="F523" t="s">
        <v>30</v>
      </c>
      <c r="G523" t="s">
        <v>31</v>
      </c>
      <c r="H523">
        <v>8</v>
      </c>
      <c r="I523">
        <v>4365</v>
      </c>
      <c r="J523" t="s">
        <v>36</v>
      </c>
      <c r="K523" s="3">
        <v>43679</v>
      </c>
      <c r="L523" t="s">
        <v>213</v>
      </c>
      <c r="M523" t="s">
        <v>269</v>
      </c>
      <c r="N523" s="6">
        <f>IF(Tabela5[[#This Row],[Dim_Cenario'[Nome Cenario']]]=Tabela5[[#Headers],[INIC Atual]],Tabela5[[#This Row],['[Valores_cenario']]],0)</f>
        <v>0</v>
      </c>
      <c r="O523" s="6">
        <f>IF(Tabela5[[#This Row],[Dim_Cenario'[Nome Cenario']]]=Tabela5[[#Headers],[Revisado]],Tabela5[[#This Row],['[Valores_cenario']]],0)</f>
        <v>0</v>
      </c>
      <c r="P523" s="6">
        <f>IF(Tabela5[[#This Row],[Dim_Cenario'[Nome Cenario']]]=Tabela5[[#Headers],[Realizado]],Tabela5[[#This Row],['[Valores_cenario']]],0)</f>
        <v>4365</v>
      </c>
    </row>
    <row r="524" hidden="1" spans="1:16">
      <c r="A524" t="s">
        <v>97</v>
      </c>
      <c r="B524" t="s">
        <v>18</v>
      </c>
      <c r="C524" t="s">
        <v>98</v>
      </c>
      <c r="D524" t="s">
        <v>15</v>
      </c>
      <c r="E524">
        <v>2019</v>
      </c>
      <c r="F524" t="s">
        <v>30</v>
      </c>
      <c r="G524" t="s">
        <v>31</v>
      </c>
      <c r="H524">
        <v>8</v>
      </c>
      <c r="I524">
        <v>4365</v>
      </c>
      <c r="J524" t="s">
        <v>36</v>
      </c>
      <c r="K524" s="3">
        <v>43679</v>
      </c>
      <c r="L524" t="s">
        <v>213</v>
      </c>
      <c r="M524" t="s">
        <v>270</v>
      </c>
      <c r="N524" s="6">
        <f>IF(Tabela5[[#This Row],[Dim_Cenario'[Nome Cenario']]]=Tabela5[[#Headers],[INIC Atual]],Tabela5[[#This Row],['[Valores_cenario']]],0)</f>
        <v>0</v>
      </c>
      <c r="O524" s="6">
        <f>IF(Tabela5[[#This Row],[Dim_Cenario'[Nome Cenario']]]=Tabela5[[#Headers],[Revisado]],Tabela5[[#This Row],['[Valores_cenario']]],0)</f>
        <v>0</v>
      </c>
      <c r="P524" s="6">
        <f>IF(Tabela5[[#This Row],[Dim_Cenario'[Nome Cenario']]]=Tabela5[[#Headers],[Realizado]],Tabela5[[#This Row],['[Valores_cenario']]],0)</f>
        <v>4365</v>
      </c>
    </row>
    <row r="525" hidden="1" spans="1:16">
      <c r="A525" t="s">
        <v>97</v>
      </c>
      <c r="B525" t="s">
        <v>18</v>
      </c>
      <c r="C525" t="s">
        <v>98</v>
      </c>
      <c r="D525" t="s">
        <v>15</v>
      </c>
      <c r="E525">
        <v>2019</v>
      </c>
      <c r="F525" t="s">
        <v>30</v>
      </c>
      <c r="G525" t="s">
        <v>31</v>
      </c>
      <c r="H525">
        <v>8</v>
      </c>
      <c r="I525">
        <v>4365</v>
      </c>
      <c r="J525" t="s">
        <v>36</v>
      </c>
      <c r="K525" s="3">
        <v>43679</v>
      </c>
      <c r="L525" t="s">
        <v>213</v>
      </c>
      <c r="M525" t="s">
        <v>271</v>
      </c>
      <c r="N525" s="6">
        <f>IF(Tabela5[[#This Row],[Dim_Cenario'[Nome Cenario']]]=Tabela5[[#Headers],[INIC Atual]],Tabela5[[#This Row],['[Valores_cenario']]],0)</f>
        <v>0</v>
      </c>
      <c r="O525" s="6">
        <f>IF(Tabela5[[#This Row],[Dim_Cenario'[Nome Cenario']]]=Tabela5[[#Headers],[Revisado]],Tabela5[[#This Row],['[Valores_cenario']]],0)</f>
        <v>0</v>
      </c>
      <c r="P525" s="6">
        <f>IF(Tabela5[[#This Row],[Dim_Cenario'[Nome Cenario']]]=Tabela5[[#Headers],[Realizado]],Tabela5[[#This Row],['[Valores_cenario']]],0)</f>
        <v>4365</v>
      </c>
    </row>
    <row r="526" hidden="1" spans="1:16">
      <c r="A526" t="s">
        <v>97</v>
      </c>
      <c r="B526" t="s">
        <v>18</v>
      </c>
      <c r="C526" t="s">
        <v>98</v>
      </c>
      <c r="D526" t="s">
        <v>15</v>
      </c>
      <c r="E526">
        <v>2019</v>
      </c>
      <c r="F526" t="s">
        <v>30</v>
      </c>
      <c r="G526" t="s">
        <v>31</v>
      </c>
      <c r="H526">
        <v>8</v>
      </c>
      <c r="I526">
        <v>4365</v>
      </c>
      <c r="J526" t="s">
        <v>36</v>
      </c>
      <c r="K526" s="3">
        <v>43679</v>
      </c>
      <c r="L526" t="s">
        <v>213</v>
      </c>
      <c r="M526" t="s">
        <v>272</v>
      </c>
      <c r="N526" s="6">
        <f>IF(Tabela5[[#This Row],[Dim_Cenario'[Nome Cenario']]]=Tabela5[[#Headers],[INIC Atual]],Tabela5[[#This Row],['[Valores_cenario']]],0)</f>
        <v>0</v>
      </c>
      <c r="O526" s="6">
        <f>IF(Tabela5[[#This Row],[Dim_Cenario'[Nome Cenario']]]=Tabela5[[#Headers],[Revisado]],Tabela5[[#This Row],['[Valores_cenario']]],0)</f>
        <v>0</v>
      </c>
      <c r="P526" s="6">
        <f>IF(Tabela5[[#This Row],[Dim_Cenario'[Nome Cenario']]]=Tabela5[[#Headers],[Realizado]],Tabela5[[#This Row],['[Valores_cenario']]],0)</f>
        <v>4365</v>
      </c>
    </row>
    <row r="527" hidden="1" spans="1:16">
      <c r="A527" t="s">
        <v>97</v>
      </c>
      <c r="B527" t="s">
        <v>18</v>
      </c>
      <c r="C527" t="s">
        <v>98</v>
      </c>
      <c r="D527" t="s">
        <v>15</v>
      </c>
      <c r="E527">
        <v>2019</v>
      </c>
      <c r="F527" t="s">
        <v>30</v>
      </c>
      <c r="G527" t="s">
        <v>31</v>
      </c>
      <c r="H527">
        <v>8</v>
      </c>
      <c r="I527">
        <v>5820</v>
      </c>
      <c r="J527" t="s">
        <v>36</v>
      </c>
      <c r="K527" s="3">
        <v>43679</v>
      </c>
      <c r="L527" t="s">
        <v>213</v>
      </c>
      <c r="M527" t="s">
        <v>273</v>
      </c>
      <c r="N527" s="6">
        <f>IF(Tabela5[[#This Row],[Dim_Cenario'[Nome Cenario']]]=Tabela5[[#Headers],[INIC Atual]],Tabela5[[#This Row],['[Valores_cenario']]],0)</f>
        <v>0</v>
      </c>
      <c r="O527" s="6">
        <f>IF(Tabela5[[#This Row],[Dim_Cenario'[Nome Cenario']]]=Tabela5[[#Headers],[Revisado]],Tabela5[[#This Row],['[Valores_cenario']]],0)</f>
        <v>0</v>
      </c>
      <c r="P527" s="6">
        <f>IF(Tabela5[[#This Row],[Dim_Cenario'[Nome Cenario']]]=Tabela5[[#Headers],[Realizado]],Tabela5[[#This Row],['[Valores_cenario']]],0)</f>
        <v>5820</v>
      </c>
    </row>
    <row r="528" hidden="1" spans="1:16">
      <c r="A528" t="s">
        <v>97</v>
      </c>
      <c r="B528" t="s">
        <v>18</v>
      </c>
      <c r="C528" t="s">
        <v>98</v>
      </c>
      <c r="D528" t="s">
        <v>15</v>
      </c>
      <c r="E528">
        <v>2019</v>
      </c>
      <c r="F528" t="s">
        <v>30</v>
      </c>
      <c r="G528" t="s">
        <v>31</v>
      </c>
      <c r="H528">
        <v>8</v>
      </c>
      <c r="I528">
        <v>727.5</v>
      </c>
      <c r="J528" t="s">
        <v>36</v>
      </c>
      <c r="K528" s="3">
        <v>43679</v>
      </c>
      <c r="L528" t="s">
        <v>213</v>
      </c>
      <c r="M528" t="s">
        <v>274</v>
      </c>
      <c r="N528" s="6">
        <f>IF(Tabela5[[#This Row],[Dim_Cenario'[Nome Cenario']]]=Tabela5[[#Headers],[INIC Atual]],Tabela5[[#This Row],['[Valores_cenario']]],0)</f>
        <v>0</v>
      </c>
      <c r="O528" s="6">
        <f>IF(Tabela5[[#This Row],[Dim_Cenario'[Nome Cenario']]]=Tabela5[[#Headers],[Revisado]],Tabela5[[#This Row],['[Valores_cenario']]],0)</f>
        <v>0</v>
      </c>
      <c r="P528" s="6">
        <f>IF(Tabela5[[#This Row],[Dim_Cenario'[Nome Cenario']]]=Tabela5[[#Headers],[Realizado]],Tabela5[[#This Row],['[Valores_cenario']]],0)</f>
        <v>727.5</v>
      </c>
    </row>
    <row r="529" hidden="1" spans="1:16">
      <c r="A529" t="s">
        <v>97</v>
      </c>
      <c r="B529" t="s">
        <v>18</v>
      </c>
      <c r="C529" t="s">
        <v>98</v>
      </c>
      <c r="D529" t="s">
        <v>15</v>
      </c>
      <c r="E529">
        <v>2019</v>
      </c>
      <c r="F529" t="s">
        <v>30</v>
      </c>
      <c r="G529" t="s">
        <v>31</v>
      </c>
      <c r="H529">
        <v>8</v>
      </c>
      <c r="I529">
        <v>4365</v>
      </c>
      <c r="J529" t="s">
        <v>36</v>
      </c>
      <c r="K529" s="3">
        <v>43679</v>
      </c>
      <c r="L529" t="s">
        <v>213</v>
      </c>
      <c r="M529" t="s">
        <v>275</v>
      </c>
      <c r="N529" s="6">
        <f>IF(Tabela5[[#This Row],[Dim_Cenario'[Nome Cenario']]]=Tabela5[[#Headers],[INIC Atual]],Tabela5[[#This Row],['[Valores_cenario']]],0)</f>
        <v>0</v>
      </c>
      <c r="O529" s="6">
        <f>IF(Tabela5[[#This Row],[Dim_Cenario'[Nome Cenario']]]=Tabela5[[#Headers],[Revisado]],Tabela5[[#This Row],['[Valores_cenario']]],0)</f>
        <v>0</v>
      </c>
      <c r="P529" s="6">
        <f>IF(Tabela5[[#This Row],[Dim_Cenario'[Nome Cenario']]]=Tabela5[[#Headers],[Realizado]],Tabela5[[#This Row],['[Valores_cenario']]],0)</f>
        <v>4365</v>
      </c>
    </row>
    <row r="530" hidden="1" spans="1:16">
      <c r="A530" t="s">
        <v>97</v>
      </c>
      <c r="B530" t="s">
        <v>18</v>
      </c>
      <c r="C530" t="s">
        <v>98</v>
      </c>
      <c r="D530" t="s">
        <v>15</v>
      </c>
      <c r="E530">
        <v>2019</v>
      </c>
      <c r="F530" t="s">
        <v>30</v>
      </c>
      <c r="G530" t="s">
        <v>31</v>
      </c>
      <c r="H530">
        <v>8</v>
      </c>
      <c r="I530">
        <v>4365</v>
      </c>
      <c r="J530" t="s">
        <v>36</v>
      </c>
      <c r="K530" s="3">
        <v>43691</v>
      </c>
      <c r="L530" t="s">
        <v>213</v>
      </c>
      <c r="M530" t="s">
        <v>276</v>
      </c>
      <c r="N530" s="6">
        <f>IF(Tabela5[[#This Row],[Dim_Cenario'[Nome Cenario']]]=Tabela5[[#Headers],[INIC Atual]],Tabela5[[#This Row],['[Valores_cenario']]],0)</f>
        <v>0</v>
      </c>
      <c r="O530" s="6">
        <f>IF(Tabela5[[#This Row],[Dim_Cenario'[Nome Cenario']]]=Tabela5[[#Headers],[Revisado]],Tabela5[[#This Row],['[Valores_cenario']]],0)</f>
        <v>0</v>
      </c>
      <c r="P530" s="6">
        <f>IF(Tabela5[[#This Row],[Dim_Cenario'[Nome Cenario']]]=Tabela5[[#Headers],[Realizado]],Tabela5[[#This Row],['[Valores_cenario']]],0)</f>
        <v>4365</v>
      </c>
    </row>
    <row r="531" hidden="1" spans="1:16">
      <c r="A531" t="s">
        <v>17</v>
      </c>
      <c r="B531" t="s">
        <v>18</v>
      </c>
      <c r="C531" t="s">
        <v>37</v>
      </c>
      <c r="D531" t="s">
        <v>15</v>
      </c>
      <c r="E531">
        <v>2022</v>
      </c>
      <c r="F531" t="s">
        <v>21</v>
      </c>
      <c r="G531" t="s">
        <v>24</v>
      </c>
      <c r="H531">
        <v>11</v>
      </c>
      <c r="I531">
        <v>36227.3</v>
      </c>
      <c r="J531" t="s">
        <v>23</v>
      </c>
      <c r="K531" s="3">
        <v>44889</v>
      </c>
      <c r="L531" t="s">
        <v>254</v>
      </c>
      <c r="M531" t="s">
        <v>277</v>
      </c>
      <c r="N531" s="6">
        <f>IF(Tabela5[[#This Row],[Dim_Cenario'[Nome Cenario']]]=Tabela5[[#Headers],[INIC Atual]],Tabela5[[#This Row],['[Valores_cenario']]],0)</f>
        <v>0</v>
      </c>
      <c r="O531" s="6">
        <f>IF(Tabela5[[#This Row],[Dim_Cenario'[Nome Cenario']]]=Tabela5[[#Headers],[Revisado]],Tabela5[[#This Row],['[Valores_cenario']]],0)</f>
        <v>0</v>
      </c>
      <c r="P531" s="6">
        <f>IF(Tabela5[[#This Row],[Dim_Cenario'[Nome Cenario']]]=Tabela5[[#Headers],[Realizado]],Tabela5[[#This Row],['[Valores_cenario']]],0)</f>
        <v>36227.3</v>
      </c>
    </row>
    <row r="532" hidden="1" spans="1:16">
      <c r="A532" t="s">
        <v>97</v>
      </c>
      <c r="B532" t="s">
        <v>18</v>
      </c>
      <c r="C532" t="s">
        <v>98</v>
      </c>
      <c r="D532" t="s">
        <v>15</v>
      </c>
      <c r="E532">
        <v>2019</v>
      </c>
      <c r="F532" t="s">
        <v>30</v>
      </c>
      <c r="G532" t="s">
        <v>31</v>
      </c>
      <c r="H532">
        <v>8</v>
      </c>
      <c r="I532">
        <v>4365</v>
      </c>
      <c r="J532" t="s">
        <v>36</v>
      </c>
      <c r="K532" s="3">
        <v>43707</v>
      </c>
      <c r="L532" t="s">
        <v>213</v>
      </c>
      <c r="M532" t="s">
        <v>278</v>
      </c>
      <c r="N532" s="6">
        <f>IF(Tabela5[[#This Row],[Dim_Cenario'[Nome Cenario']]]=Tabela5[[#Headers],[INIC Atual]],Tabela5[[#This Row],['[Valores_cenario']]],0)</f>
        <v>0</v>
      </c>
      <c r="O532" s="6">
        <f>IF(Tabela5[[#This Row],[Dim_Cenario'[Nome Cenario']]]=Tabela5[[#Headers],[Revisado]],Tabela5[[#This Row],['[Valores_cenario']]],0)</f>
        <v>0</v>
      </c>
      <c r="P532" s="6">
        <f>IF(Tabela5[[#This Row],[Dim_Cenario'[Nome Cenario']]]=Tabela5[[#Headers],[Realizado]],Tabela5[[#This Row],['[Valores_cenario']]],0)</f>
        <v>4365</v>
      </c>
    </row>
    <row r="533" hidden="1" spans="1:16">
      <c r="A533" t="s">
        <v>97</v>
      </c>
      <c r="B533" t="s">
        <v>18</v>
      </c>
      <c r="C533" t="s">
        <v>98</v>
      </c>
      <c r="D533" t="s">
        <v>15</v>
      </c>
      <c r="E533">
        <v>2019</v>
      </c>
      <c r="F533" t="s">
        <v>30</v>
      </c>
      <c r="G533" t="s">
        <v>31</v>
      </c>
      <c r="H533">
        <v>8</v>
      </c>
      <c r="I533">
        <v>4365</v>
      </c>
      <c r="J533" t="s">
        <v>36</v>
      </c>
      <c r="K533" s="3">
        <v>43707</v>
      </c>
      <c r="L533" t="s">
        <v>213</v>
      </c>
      <c r="M533" t="s">
        <v>279</v>
      </c>
      <c r="N533" s="6">
        <f>IF(Tabela5[[#This Row],[Dim_Cenario'[Nome Cenario']]]=Tabela5[[#Headers],[INIC Atual]],Tabela5[[#This Row],['[Valores_cenario']]],0)</f>
        <v>0</v>
      </c>
      <c r="O533" s="6">
        <f>IF(Tabela5[[#This Row],[Dim_Cenario'[Nome Cenario']]]=Tabela5[[#Headers],[Revisado]],Tabela5[[#This Row],['[Valores_cenario']]],0)</f>
        <v>0</v>
      </c>
      <c r="P533" s="6">
        <f>IF(Tabela5[[#This Row],[Dim_Cenario'[Nome Cenario']]]=Tabela5[[#Headers],[Realizado]],Tabela5[[#This Row],['[Valores_cenario']]],0)</f>
        <v>4365</v>
      </c>
    </row>
    <row r="534" hidden="1" spans="1:16">
      <c r="A534" t="s">
        <v>97</v>
      </c>
      <c r="B534" t="s">
        <v>18</v>
      </c>
      <c r="C534" t="s">
        <v>98</v>
      </c>
      <c r="D534" t="s">
        <v>15</v>
      </c>
      <c r="E534">
        <v>2019</v>
      </c>
      <c r="F534" t="s">
        <v>30</v>
      </c>
      <c r="G534" t="s">
        <v>31</v>
      </c>
      <c r="H534">
        <v>8</v>
      </c>
      <c r="I534">
        <v>6547.5</v>
      </c>
      <c r="J534" t="s">
        <v>36</v>
      </c>
      <c r="K534" s="3">
        <v>43707</v>
      </c>
      <c r="L534" t="s">
        <v>213</v>
      </c>
      <c r="M534" t="s">
        <v>280</v>
      </c>
      <c r="N534" s="6">
        <f>IF(Tabela5[[#This Row],[Dim_Cenario'[Nome Cenario']]]=Tabela5[[#Headers],[INIC Atual]],Tabela5[[#This Row],['[Valores_cenario']]],0)</f>
        <v>0</v>
      </c>
      <c r="O534" s="6">
        <f>IF(Tabela5[[#This Row],[Dim_Cenario'[Nome Cenario']]]=Tabela5[[#Headers],[Revisado]],Tabela5[[#This Row],['[Valores_cenario']]],0)</f>
        <v>0</v>
      </c>
      <c r="P534" s="6">
        <f>IF(Tabela5[[#This Row],[Dim_Cenario'[Nome Cenario']]]=Tabela5[[#Headers],[Realizado]],Tabela5[[#This Row],['[Valores_cenario']]],0)</f>
        <v>6547.5</v>
      </c>
    </row>
    <row r="535" hidden="1" spans="1:16">
      <c r="A535" t="s">
        <v>97</v>
      </c>
      <c r="B535" t="s">
        <v>18</v>
      </c>
      <c r="C535" t="s">
        <v>98</v>
      </c>
      <c r="D535" t="s">
        <v>15</v>
      </c>
      <c r="E535">
        <v>2019</v>
      </c>
      <c r="F535" t="s">
        <v>30</v>
      </c>
      <c r="G535" t="s">
        <v>31</v>
      </c>
      <c r="H535">
        <v>8</v>
      </c>
      <c r="I535">
        <v>8002.5</v>
      </c>
      <c r="J535" t="s">
        <v>36</v>
      </c>
      <c r="K535" s="3">
        <v>43707</v>
      </c>
      <c r="L535" t="s">
        <v>213</v>
      </c>
      <c r="M535" t="s">
        <v>281</v>
      </c>
      <c r="N535" s="6">
        <f>IF(Tabela5[[#This Row],[Dim_Cenario'[Nome Cenario']]]=Tabela5[[#Headers],[INIC Atual]],Tabela5[[#This Row],['[Valores_cenario']]],0)</f>
        <v>0</v>
      </c>
      <c r="O535" s="6">
        <f>IF(Tabela5[[#This Row],[Dim_Cenario'[Nome Cenario']]]=Tabela5[[#Headers],[Revisado]],Tabela5[[#This Row],['[Valores_cenario']]],0)</f>
        <v>0</v>
      </c>
      <c r="P535" s="6">
        <f>IF(Tabela5[[#This Row],[Dim_Cenario'[Nome Cenario']]]=Tabela5[[#Headers],[Realizado]],Tabela5[[#This Row],['[Valores_cenario']]],0)</f>
        <v>8002.5</v>
      </c>
    </row>
    <row r="536" hidden="1" spans="1:16">
      <c r="A536" t="s">
        <v>97</v>
      </c>
      <c r="B536" t="s">
        <v>18</v>
      </c>
      <c r="C536" t="s">
        <v>98</v>
      </c>
      <c r="D536" t="s">
        <v>15</v>
      </c>
      <c r="E536">
        <v>2019</v>
      </c>
      <c r="F536" t="s">
        <v>30</v>
      </c>
      <c r="G536" t="s">
        <v>31</v>
      </c>
      <c r="H536">
        <v>8</v>
      </c>
      <c r="I536">
        <v>9502.5</v>
      </c>
      <c r="J536" t="s">
        <v>36</v>
      </c>
      <c r="K536" s="3">
        <v>43708</v>
      </c>
      <c r="L536" t="s">
        <v>213</v>
      </c>
      <c r="M536" t="s">
        <v>282</v>
      </c>
      <c r="N536" s="6">
        <f>IF(Tabela5[[#This Row],[Dim_Cenario'[Nome Cenario']]]=Tabela5[[#Headers],[INIC Atual]],Tabela5[[#This Row],['[Valores_cenario']]],0)</f>
        <v>0</v>
      </c>
      <c r="O536" s="6">
        <f>IF(Tabela5[[#This Row],[Dim_Cenario'[Nome Cenario']]]=Tabela5[[#Headers],[Revisado]],Tabela5[[#This Row],['[Valores_cenario']]],0)</f>
        <v>0</v>
      </c>
      <c r="P536" s="6">
        <f>IF(Tabela5[[#This Row],[Dim_Cenario'[Nome Cenario']]]=Tabela5[[#Headers],[Realizado]],Tabela5[[#This Row],['[Valores_cenario']]],0)</f>
        <v>9502.5</v>
      </c>
    </row>
    <row r="537" hidden="1" spans="1:16">
      <c r="A537" t="s">
        <v>97</v>
      </c>
      <c r="B537" t="s">
        <v>18</v>
      </c>
      <c r="C537" t="s">
        <v>98</v>
      </c>
      <c r="D537" t="s">
        <v>15</v>
      </c>
      <c r="E537">
        <v>2019</v>
      </c>
      <c r="F537" t="s">
        <v>30</v>
      </c>
      <c r="G537" t="s">
        <v>41</v>
      </c>
      <c r="H537">
        <v>9</v>
      </c>
      <c r="I537">
        <v>-9502.5</v>
      </c>
      <c r="J537" t="s">
        <v>36</v>
      </c>
      <c r="K537" s="3">
        <v>43709</v>
      </c>
      <c r="L537" t="s">
        <v>213</v>
      </c>
      <c r="M537" t="s">
        <v>283</v>
      </c>
      <c r="N537" s="6">
        <f>IF(Tabela5[[#This Row],[Dim_Cenario'[Nome Cenario']]]=Tabela5[[#Headers],[INIC Atual]],Tabela5[[#This Row],['[Valores_cenario']]],0)</f>
        <v>0</v>
      </c>
      <c r="O537" s="6">
        <f>IF(Tabela5[[#This Row],[Dim_Cenario'[Nome Cenario']]]=Tabela5[[#Headers],[Revisado]],Tabela5[[#This Row],['[Valores_cenario']]],0)</f>
        <v>0</v>
      </c>
      <c r="P537" s="6">
        <f>IF(Tabela5[[#This Row],[Dim_Cenario'[Nome Cenario']]]=Tabela5[[#Headers],[Realizado]],Tabela5[[#This Row],['[Valores_cenario']]],0)</f>
        <v>-9502.5</v>
      </c>
    </row>
    <row r="538" hidden="1" spans="1:16">
      <c r="A538" t="s">
        <v>17</v>
      </c>
      <c r="B538" t="s">
        <v>18</v>
      </c>
      <c r="C538" t="s">
        <v>37</v>
      </c>
      <c r="D538" t="s">
        <v>15</v>
      </c>
      <c r="E538">
        <v>2022</v>
      </c>
      <c r="F538" t="s">
        <v>21</v>
      </c>
      <c r="G538" t="s">
        <v>24</v>
      </c>
      <c r="H538">
        <v>11</v>
      </c>
      <c r="I538">
        <v>55955.69</v>
      </c>
      <c r="J538" t="s">
        <v>23</v>
      </c>
      <c r="K538" s="3">
        <v>44895</v>
      </c>
      <c r="L538" t="s">
        <v>50</v>
      </c>
      <c r="M538" t="s">
        <v>284</v>
      </c>
      <c r="N538" s="6">
        <f>IF(Tabela5[[#This Row],[Dim_Cenario'[Nome Cenario']]]=Tabela5[[#Headers],[INIC Atual]],Tabela5[[#This Row],['[Valores_cenario']]],0)</f>
        <v>0</v>
      </c>
      <c r="O538" s="6">
        <f>IF(Tabela5[[#This Row],[Dim_Cenario'[Nome Cenario']]]=Tabela5[[#Headers],[Revisado]],Tabela5[[#This Row],['[Valores_cenario']]],0)</f>
        <v>0</v>
      </c>
      <c r="P538" s="6">
        <f>IF(Tabela5[[#This Row],[Dim_Cenario'[Nome Cenario']]]=Tabela5[[#Headers],[Realizado]],Tabela5[[#This Row],['[Valores_cenario']]],0)</f>
        <v>55955.69</v>
      </c>
    </row>
    <row r="539" hidden="1" spans="1:16">
      <c r="A539" t="s">
        <v>97</v>
      </c>
      <c r="B539" t="s">
        <v>18</v>
      </c>
      <c r="C539" t="s">
        <v>98</v>
      </c>
      <c r="D539" t="s">
        <v>15</v>
      </c>
      <c r="E539">
        <v>2019</v>
      </c>
      <c r="F539" t="s">
        <v>30</v>
      </c>
      <c r="G539" t="s">
        <v>41</v>
      </c>
      <c r="H539">
        <v>9</v>
      </c>
      <c r="I539">
        <v>16005</v>
      </c>
      <c r="J539" t="s">
        <v>36</v>
      </c>
      <c r="K539" s="3">
        <v>43738</v>
      </c>
      <c r="L539" t="s">
        <v>213</v>
      </c>
      <c r="M539" t="s">
        <v>285</v>
      </c>
      <c r="N539" s="6">
        <f>IF(Tabela5[[#This Row],[Dim_Cenario'[Nome Cenario']]]=Tabela5[[#Headers],[INIC Atual]],Tabela5[[#This Row],['[Valores_cenario']]],0)</f>
        <v>0</v>
      </c>
      <c r="O539" s="6">
        <f>IF(Tabela5[[#This Row],[Dim_Cenario'[Nome Cenario']]]=Tabela5[[#Headers],[Revisado]],Tabela5[[#This Row],['[Valores_cenario']]],0)</f>
        <v>0</v>
      </c>
      <c r="P539" s="6">
        <f>IF(Tabela5[[#This Row],[Dim_Cenario'[Nome Cenario']]]=Tabela5[[#Headers],[Realizado]],Tabela5[[#This Row],['[Valores_cenario']]],0)</f>
        <v>16005</v>
      </c>
    </row>
    <row r="540" hidden="1" spans="1:16">
      <c r="A540" t="s">
        <v>97</v>
      </c>
      <c r="B540" t="s">
        <v>18</v>
      </c>
      <c r="C540" t="s">
        <v>98</v>
      </c>
      <c r="D540" t="s">
        <v>15</v>
      </c>
      <c r="E540">
        <v>2019</v>
      </c>
      <c r="F540" t="s">
        <v>21</v>
      </c>
      <c r="G540" t="s">
        <v>22</v>
      </c>
      <c r="H540">
        <v>10</v>
      </c>
      <c r="I540">
        <v>-16005</v>
      </c>
      <c r="J540" t="s">
        <v>36</v>
      </c>
      <c r="K540" s="3">
        <v>43739</v>
      </c>
      <c r="L540" t="s">
        <v>213</v>
      </c>
      <c r="M540" t="s">
        <v>286</v>
      </c>
      <c r="N540" s="6">
        <f>IF(Tabela5[[#This Row],[Dim_Cenario'[Nome Cenario']]]=Tabela5[[#Headers],[INIC Atual]],Tabela5[[#This Row],['[Valores_cenario']]],0)</f>
        <v>0</v>
      </c>
      <c r="O540" s="6">
        <f>IF(Tabela5[[#This Row],[Dim_Cenario'[Nome Cenario']]]=Tabela5[[#Headers],[Revisado]],Tabela5[[#This Row],['[Valores_cenario']]],0)</f>
        <v>0</v>
      </c>
      <c r="P540" s="6">
        <f>IF(Tabela5[[#This Row],[Dim_Cenario'[Nome Cenario']]]=Tabela5[[#Headers],[Realizado]],Tabela5[[#This Row],['[Valores_cenario']]],0)</f>
        <v>-16005</v>
      </c>
    </row>
    <row r="541" spans="1:16">
      <c r="A541" t="s">
        <v>17</v>
      </c>
      <c r="B541" t="s">
        <v>18</v>
      </c>
      <c r="C541" t="s">
        <v>37</v>
      </c>
      <c r="D541" t="s">
        <v>15</v>
      </c>
      <c r="E541">
        <v>2023</v>
      </c>
      <c r="F541" t="s">
        <v>25</v>
      </c>
      <c r="G541" t="s">
        <v>26</v>
      </c>
      <c r="H541">
        <v>2</v>
      </c>
      <c r="I541">
        <v>1801.8</v>
      </c>
      <c r="J541" t="s">
        <v>23</v>
      </c>
      <c r="K541" s="3">
        <v>44970</v>
      </c>
      <c r="L541" t="s">
        <v>287</v>
      </c>
      <c r="M541" t="s">
        <v>288</v>
      </c>
      <c r="N541" s="6">
        <f>IF(Tabela5[[#This Row],[Dim_Cenario'[Nome Cenario']]]=Tabela5[[#Headers],[INIC Atual]],Tabela5[[#This Row],['[Valores_cenario']]],0)</f>
        <v>0</v>
      </c>
      <c r="O541" s="6">
        <f>IF(Tabela5[[#This Row],[Dim_Cenario'[Nome Cenario']]]=Tabela5[[#Headers],[Revisado]],Tabela5[[#This Row],['[Valores_cenario']]],0)</f>
        <v>0</v>
      </c>
      <c r="P541" s="6">
        <f>IF(Tabela5[[#This Row],[Dim_Cenario'[Nome Cenario']]]=Tabela5[[#Headers],[Realizado]],Tabela5[[#This Row],['[Valores_cenario']]],0)</f>
        <v>1801.8</v>
      </c>
    </row>
    <row r="542" hidden="1" spans="1:16">
      <c r="A542" t="s">
        <v>97</v>
      </c>
      <c r="B542" t="s">
        <v>18</v>
      </c>
      <c r="C542" t="s">
        <v>98</v>
      </c>
      <c r="D542" t="s">
        <v>15</v>
      </c>
      <c r="E542">
        <v>2019</v>
      </c>
      <c r="F542" t="s">
        <v>21</v>
      </c>
      <c r="G542" t="s">
        <v>22</v>
      </c>
      <c r="H542">
        <v>10</v>
      </c>
      <c r="I542">
        <v>5820</v>
      </c>
      <c r="J542" t="s">
        <v>36</v>
      </c>
      <c r="K542" s="3">
        <v>43749</v>
      </c>
      <c r="L542" t="s">
        <v>213</v>
      </c>
      <c r="M542" t="s">
        <v>289</v>
      </c>
      <c r="N542" s="6">
        <f>IF(Tabela5[[#This Row],[Dim_Cenario'[Nome Cenario']]]=Tabela5[[#Headers],[INIC Atual]],Tabela5[[#This Row],['[Valores_cenario']]],0)</f>
        <v>0</v>
      </c>
      <c r="O542" s="6">
        <f>IF(Tabela5[[#This Row],[Dim_Cenario'[Nome Cenario']]]=Tabela5[[#Headers],[Revisado]],Tabela5[[#This Row],['[Valores_cenario']]],0)</f>
        <v>0</v>
      </c>
      <c r="P542" s="6">
        <f>IF(Tabela5[[#This Row],[Dim_Cenario'[Nome Cenario']]]=Tabela5[[#Headers],[Realizado]],Tabela5[[#This Row],['[Valores_cenario']]],0)</f>
        <v>5820</v>
      </c>
    </row>
    <row r="543" hidden="1" spans="1:16">
      <c r="A543" t="s">
        <v>97</v>
      </c>
      <c r="B543" t="s">
        <v>18</v>
      </c>
      <c r="C543" t="s">
        <v>98</v>
      </c>
      <c r="D543" t="s">
        <v>15</v>
      </c>
      <c r="E543">
        <v>2019</v>
      </c>
      <c r="F543" t="s">
        <v>21</v>
      </c>
      <c r="G543" t="s">
        <v>22</v>
      </c>
      <c r="H543">
        <v>10</v>
      </c>
      <c r="I543">
        <v>1455</v>
      </c>
      <c r="J543" t="s">
        <v>36</v>
      </c>
      <c r="K543" s="3">
        <v>43749</v>
      </c>
      <c r="L543" t="s">
        <v>213</v>
      </c>
      <c r="M543" t="s">
        <v>290</v>
      </c>
      <c r="N543" s="6">
        <f>IF(Tabela5[[#This Row],[Dim_Cenario'[Nome Cenario']]]=Tabela5[[#Headers],[INIC Atual]],Tabela5[[#This Row],['[Valores_cenario']]],0)</f>
        <v>0</v>
      </c>
      <c r="O543" s="6">
        <f>IF(Tabela5[[#This Row],[Dim_Cenario'[Nome Cenario']]]=Tabela5[[#Headers],[Revisado]],Tabela5[[#This Row],['[Valores_cenario']]],0)</f>
        <v>0</v>
      </c>
      <c r="P543" s="6">
        <f>IF(Tabela5[[#This Row],[Dim_Cenario'[Nome Cenario']]]=Tabela5[[#Headers],[Realizado]],Tabela5[[#This Row],['[Valores_cenario']]],0)</f>
        <v>1455</v>
      </c>
    </row>
    <row r="544" hidden="1" spans="1:16">
      <c r="A544" t="s">
        <v>97</v>
      </c>
      <c r="B544" t="s">
        <v>18</v>
      </c>
      <c r="C544" t="s">
        <v>98</v>
      </c>
      <c r="D544" t="s">
        <v>15</v>
      </c>
      <c r="E544">
        <v>2019</v>
      </c>
      <c r="F544" t="s">
        <v>21</v>
      </c>
      <c r="G544" t="s">
        <v>22</v>
      </c>
      <c r="H544">
        <v>10</v>
      </c>
      <c r="I544">
        <v>4365</v>
      </c>
      <c r="J544" t="s">
        <v>36</v>
      </c>
      <c r="K544" s="3">
        <v>43749</v>
      </c>
      <c r="L544" t="s">
        <v>213</v>
      </c>
      <c r="M544" t="s">
        <v>291</v>
      </c>
      <c r="N544" s="6">
        <f>IF(Tabela5[[#This Row],[Dim_Cenario'[Nome Cenario']]]=Tabela5[[#Headers],[INIC Atual]],Tabela5[[#This Row],['[Valores_cenario']]],0)</f>
        <v>0</v>
      </c>
      <c r="O544" s="6">
        <f>IF(Tabela5[[#This Row],[Dim_Cenario'[Nome Cenario']]]=Tabela5[[#Headers],[Revisado]],Tabela5[[#This Row],['[Valores_cenario']]],0)</f>
        <v>0</v>
      </c>
      <c r="P544" s="6">
        <f>IF(Tabela5[[#This Row],[Dim_Cenario'[Nome Cenario']]]=Tabela5[[#Headers],[Realizado]],Tabela5[[#This Row],['[Valores_cenario']]],0)</f>
        <v>4365</v>
      </c>
    </row>
    <row r="545" hidden="1" spans="1:16">
      <c r="A545" t="s">
        <v>17</v>
      </c>
      <c r="B545" t="s">
        <v>18</v>
      </c>
      <c r="C545" t="s">
        <v>37</v>
      </c>
      <c r="D545" t="s">
        <v>15</v>
      </c>
      <c r="E545">
        <v>2022</v>
      </c>
      <c r="F545" t="s">
        <v>21</v>
      </c>
      <c r="G545" t="s">
        <v>24</v>
      </c>
      <c r="H545">
        <v>11</v>
      </c>
      <c r="I545">
        <v>18600</v>
      </c>
      <c r="J545" t="s">
        <v>23</v>
      </c>
      <c r="K545" s="3">
        <v>44895</v>
      </c>
      <c r="L545" t="s">
        <v>122</v>
      </c>
      <c r="M545" t="s">
        <v>292</v>
      </c>
      <c r="N545" s="6">
        <f>IF(Tabela5[[#This Row],[Dim_Cenario'[Nome Cenario']]]=Tabela5[[#Headers],[INIC Atual]],Tabela5[[#This Row],['[Valores_cenario']]],0)</f>
        <v>0</v>
      </c>
      <c r="O545" s="6">
        <f>IF(Tabela5[[#This Row],[Dim_Cenario'[Nome Cenario']]]=Tabela5[[#Headers],[Revisado]],Tabela5[[#This Row],['[Valores_cenario']]],0)</f>
        <v>0</v>
      </c>
      <c r="P545" s="6">
        <f>IF(Tabela5[[#This Row],[Dim_Cenario'[Nome Cenario']]]=Tabela5[[#Headers],[Realizado]],Tabela5[[#This Row],['[Valores_cenario']]],0)</f>
        <v>18600</v>
      </c>
    </row>
    <row r="546" spans="1:16">
      <c r="A546" t="s">
        <v>17</v>
      </c>
      <c r="B546" t="s">
        <v>18</v>
      </c>
      <c r="C546" t="s">
        <v>37</v>
      </c>
      <c r="D546" t="s">
        <v>15</v>
      </c>
      <c r="E546">
        <v>2021</v>
      </c>
      <c r="F546" t="s">
        <v>27</v>
      </c>
      <c r="G546" t="s">
        <v>29</v>
      </c>
      <c r="H546">
        <v>6</v>
      </c>
      <c r="I546">
        <v>1790.44</v>
      </c>
      <c r="J546" t="s">
        <v>36</v>
      </c>
      <c r="K546" s="3">
        <v>44365</v>
      </c>
      <c r="L546" t="s">
        <v>293</v>
      </c>
      <c r="M546" t="s">
        <v>294</v>
      </c>
      <c r="N546" s="6">
        <f>IF(Tabela5[[#This Row],[Dim_Cenario'[Nome Cenario']]]=Tabela5[[#Headers],[INIC Atual]],Tabela5[[#This Row],['[Valores_cenario']]],0)</f>
        <v>0</v>
      </c>
      <c r="O546" s="6">
        <f>IF(Tabela5[[#This Row],[Dim_Cenario'[Nome Cenario']]]=Tabela5[[#Headers],[Revisado]],Tabela5[[#This Row],['[Valores_cenario']]],0)</f>
        <v>0</v>
      </c>
      <c r="P546" s="6">
        <f>IF(Tabela5[[#This Row],[Dim_Cenario'[Nome Cenario']]]=Tabela5[[#Headers],[Realizado]],Tabela5[[#This Row],['[Valores_cenario']]],0)</f>
        <v>1790.44</v>
      </c>
    </row>
    <row r="547" hidden="1" spans="1:16">
      <c r="A547" t="s">
        <v>97</v>
      </c>
      <c r="B547" t="s">
        <v>18</v>
      </c>
      <c r="C547" t="s">
        <v>98</v>
      </c>
      <c r="D547" t="s">
        <v>15</v>
      </c>
      <c r="E547">
        <v>2019</v>
      </c>
      <c r="F547" t="s">
        <v>21</v>
      </c>
      <c r="G547" t="s">
        <v>22</v>
      </c>
      <c r="H547">
        <v>10</v>
      </c>
      <c r="I547">
        <v>23280</v>
      </c>
      <c r="J547" t="s">
        <v>36</v>
      </c>
      <c r="K547" s="3">
        <v>43769</v>
      </c>
      <c r="L547" t="s">
        <v>213</v>
      </c>
      <c r="M547" t="s">
        <v>295</v>
      </c>
      <c r="N547" s="6">
        <f>IF(Tabela5[[#This Row],[Dim_Cenario'[Nome Cenario']]]=Tabela5[[#Headers],[INIC Atual]],Tabela5[[#This Row],['[Valores_cenario']]],0)</f>
        <v>0</v>
      </c>
      <c r="O547" s="6">
        <f>IF(Tabela5[[#This Row],[Dim_Cenario'[Nome Cenario']]]=Tabela5[[#Headers],[Revisado]],Tabela5[[#This Row],['[Valores_cenario']]],0)</f>
        <v>0</v>
      </c>
      <c r="P547" s="6">
        <f>IF(Tabela5[[#This Row],[Dim_Cenario'[Nome Cenario']]]=Tabela5[[#Headers],[Realizado]],Tabela5[[#This Row],['[Valores_cenario']]],0)</f>
        <v>23280</v>
      </c>
    </row>
    <row r="548" hidden="1" spans="1:16">
      <c r="A548" t="s">
        <v>97</v>
      </c>
      <c r="B548" t="s">
        <v>18</v>
      </c>
      <c r="C548" t="s">
        <v>98</v>
      </c>
      <c r="D548" t="s">
        <v>15</v>
      </c>
      <c r="E548">
        <v>2019</v>
      </c>
      <c r="F548" t="s">
        <v>21</v>
      </c>
      <c r="G548" t="s">
        <v>22</v>
      </c>
      <c r="H548">
        <v>10</v>
      </c>
      <c r="I548">
        <v>8730</v>
      </c>
      <c r="J548" t="s">
        <v>36</v>
      </c>
      <c r="K548" s="3">
        <v>43769</v>
      </c>
      <c r="L548" t="s">
        <v>213</v>
      </c>
      <c r="M548" t="s">
        <v>296</v>
      </c>
      <c r="N548" s="6">
        <f>IF(Tabela5[[#This Row],[Dim_Cenario'[Nome Cenario']]]=Tabela5[[#Headers],[INIC Atual]],Tabela5[[#This Row],['[Valores_cenario']]],0)</f>
        <v>0</v>
      </c>
      <c r="O548" s="6">
        <f>IF(Tabela5[[#This Row],[Dim_Cenario'[Nome Cenario']]]=Tabela5[[#Headers],[Revisado]],Tabela5[[#This Row],['[Valores_cenario']]],0)</f>
        <v>0</v>
      </c>
      <c r="P548" s="6">
        <f>IF(Tabela5[[#This Row],[Dim_Cenario'[Nome Cenario']]]=Tabela5[[#Headers],[Realizado]],Tabela5[[#This Row],['[Valores_cenario']]],0)</f>
        <v>8730</v>
      </c>
    </row>
    <row r="549" hidden="1" spans="1:16">
      <c r="A549" t="s">
        <v>97</v>
      </c>
      <c r="B549" t="s">
        <v>18</v>
      </c>
      <c r="C549" t="s">
        <v>98</v>
      </c>
      <c r="D549" t="s">
        <v>15</v>
      </c>
      <c r="E549">
        <v>2019</v>
      </c>
      <c r="F549" t="s">
        <v>21</v>
      </c>
      <c r="G549" t="s">
        <v>22</v>
      </c>
      <c r="H549">
        <v>10</v>
      </c>
      <c r="I549">
        <v>727.5</v>
      </c>
      <c r="J549" t="s">
        <v>36</v>
      </c>
      <c r="K549" s="3">
        <v>43769</v>
      </c>
      <c r="L549" t="s">
        <v>213</v>
      </c>
      <c r="M549" t="s">
        <v>297</v>
      </c>
      <c r="N549" s="6">
        <f>IF(Tabela5[[#This Row],[Dim_Cenario'[Nome Cenario']]]=Tabela5[[#Headers],[INIC Atual]],Tabela5[[#This Row],['[Valores_cenario']]],0)</f>
        <v>0</v>
      </c>
      <c r="O549" s="6">
        <f>IF(Tabela5[[#This Row],[Dim_Cenario'[Nome Cenario']]]=Tabela5[[#Headers],[Revisado]],Tabela5[[#This Row],['[Valores_cenario']]],0)</f>
        <v>0</v>
      </c>
      <c r="P549" s="6">
        <f>IF(Tabela5[[#This Row],[Dim_Cenario'[Nome Cenario']]]=Tabela5[[#Headers],[Realizado]],Tabela5[[#This Row],['[Valores_cenario']]],0)</f>
        <v>727.5</v>
      </c>
    </row>
    <row r="550" hidden="1" spans="1:16">
      <c r="A550" t="s">
        <v>17</v>
      </c>
      <c r="B550" t="s">
        <v>18</v>
      </c>
      <c r="C550" t="s">
        <v>37</v>
      </c>
      <c r="D550" t="s">
        <v>15</v>
      </c>
      <c r="E550">
        <v>2022</v>
      </c>
      <c r="F550" t="s">
        <v>21</v>
      </c>
      <c r="G550" t="s">
        <v>32</v>
      </c>
      <c r="H550">
        <v>12</v>
      </c>
      <c r="I550">
        <v>-55955.69</v>
      </c>
      <c r="J550" t="s">
        <v>23</v>
      </c>
      <c r="K550" s="3">
        <v>44896</v>
      </c>
      <c r="L550" t="s">
        <v>50</v>
      </c>
      <c r="M550" t="s">
        <v>284</v>
      </c>
      <c r="N550" s="6">
        <f>IF(Tabela5[[#This Row],[Dim_Cenario'[Nome Cenario']]]=Tabela5[[#Headers],[INIC Atual]],Tabela5[[#This Row],['[Valores_cenario']]],0)</f>
        <v>0</v>
      </c>
      <c r="O550" s="6">
        <f>IF(Tabela5[[#This Row],[Dim_Cenario'[Nome Cenario']]]=Tabela5[[#Headers],[Revisado]],Tabela5[[#This Row],['[Valores_cenario']]],0)</f>
        <v>0</v>
      </c>
      <c r="P550" s="6">
        <f>IF(Tabela5[[#This Row],[Dim_Cenario'[Nome Cenario']]]=Tabela5[[#Headers],[Realizado]],Tabela5[[#This Row],['[Valores_cenario']]],0)</f>
        <v>-55955.69</v>
      </c>
    </row>
    <row r="551" hidden="1" spans="1:16">
      <c r="A551" t="s">
        <v>17</v>
      </c>
      <c r="B551" t="s">
        <v>18</v>
      </c>
      <c r="C551" t="s">
        <v>37</v>
      </c>
      <c r="D551" t="s">
        <v>15</v>
      </c>
      <c r="E551">
        <v>2022</v>
      </c>
      <c r="F551" t="s">
        <v>21</v>
      </c>
      <c r="G551" t="s">
        <v>32</v>
      </c>
      <c r="H551">
        <v>12</v>
      </c>
      <c r="I551">
        <v>55955.69</v>
      </c>
      <c r="J551" t="s">
        <v>23</v>
      </c>
      <c r="K551" s="3">
        <v>44900</v>
      </c>
      <c r="L551" t="s">
        <v>122</v>
      </c>
      <c r="M551" t="s">
        <v>298</v>
      </c>
      <c r="N551" s="6">
        <f>IF(Tabela5[[#This Row],[Dim_Cenario'[Nome Cenario']]]=Tabela5[[#Headers],[INIC Atual]],Tabela5[[#This Row],['[Valores_cenario']]],0)</f>
        <v>0</v>
      </c>
      <c r="O551" s="6">
        <f>IF(Tabela5[[#This Row],[Dim_Cenario'[Nome Cenario']]]=Tabela5[[#Headers],[Revisado]],Tabela5[[#This Row],['[Valores_cenario']]],0)</f>
        <v>0</v>
      </c>
      <c r="P551" s="6">
        <f>IF(Tabela5[[#This Row],[Dim_Cenario'[Nome Cenario']]]=Tabela5[[#Headers],[Realizado]],Tabela5[[#This Row],['[Valores_cenario']]],0)</f>
        <v>55955.69</v>
      </c>
    </row>
    <row r="552" spans="1:16">
      <c r="A552" t="s">
        <v>17</v>
      </c>
      <c r="B552" t="s">
        <v>18</v>
      </c>
      <c r="C552" t="s">
        <v>37</v>
      </c>
      <c r="D552" t="s">
        <v>15</v>
      </c>
      <c r="E552">
        <v>2021</v>
      </c>
      <c r="F552" t="s">
        <v>30</v>
      </c>
      <c r="G552" t="s">
        <v>41</v>
      </c>
      <c r="H552">
        <v>9</v>
      </c>
      <c r="I552">
        <v>1767.9</v>
      </c>
      <c r="J552" t="s">
        <v>36</v>
      </c>
      <c r="K552" s="3">
        <v>44468</v>
      </c>
      <c r="L552" t="s">
        <v>100</v>
      </c>
      <c r="M552" t="s">
        <v>299</v>
      </c>
      <c r="N552" s="6">
        <f>IF(Tabela5[[#This Row],[Dim_Cenario'[Nome Cenario']]]=Tabela5[[#Headers],[INIC Atual]],Tabela5[[#This Row],['[Valores_cenario']]],0)</f>
        <v>0</v>
      </c>
      <c r="O552" s="6">
        <f>IF(Tabela5[[#This Row],[Dim_Cenario'[Nome Cenario']]]=Tabela5[[#Headers],[Revisado]],Tabela5[[#This Row],['[Valores_cenario']]],0)</f>
        <v>0</v>
      </c>
      <c r="P552" s="6">
        <f>IF(Tabela5[[#This Row],[Dim_Cenario'[Nome Cenario']]]=Tabela5[[#Headers],[Realizado]],Tabela5[[#This Row],['[Valores_cenario']]],0)</f>
        <v>1767.9</v>
      </c>
    </row>
    <row r="553" hidden="1" spans="1:16">
      <c r="A553" t="s">
        <v>97</v>
      </c>
      <c r="B553" t="s">
        <v>18</v>
      </c>
      <c r="C553" t="s">
        <v>98</v>
      </c>
      <c r="D553" t="s">
        <v>15</v>
      </c>
      <c r="E553">
        <v>2019</v>
      </c>
      <c r="F553" t="s">
        <v>21</v>
      </c>
      <c r="G553" t="s">
        <v>24</v>
      </c>
      <c r="H553">
        <v>11</v>
      </c>
      <c r="I553">
        <v>16732.5</v>
      </c>
      <c r="J553" t="s">
        <v>36</v>
      </c>
      <c r="K553" s="3">
        <v>43798</v>
      </c>
      <c r="L553" t="s">
        <v>213</v>
      </c>
      <c r="M553" t="s">
        <v>300</v>
      </c>
      <c r="N553" s="6">
        <f>IF(Tabela5[[#This Row],[Dim_Cenario'[Nome Cenario']]]=Tabela5[[#Headers],[INIC Atual]],Tabela5[[#This Row],['[Valores_cenario']]],0)</f>
        <v>0</v>
      </c>
      <c r="O553" s="6">
        <f>IF(Tabela5[[#This Row],[Dim_Cenario'[Nome Cenario']]]=Tabela5[[#Headers],[Revisado]],Tabela5[[#This Row],['[Valores_cenario']]],0)</f>
        <v>0</v>
      </c>
      <c r="P553" s="6">
        <f>IF(Tabela5[[#This Row],[Dim_Cenario'[Nome Cenario']]]=Tabela5[[#Headers],[Realizado]],Tabela5[[#This Row],['[Valores_cenario']]],0)</f>
        <v>16732.5</v>
      </c>
    </row>
    <row r="554" hidden="1" spans="1:16">
      <c r="A554" t="s">
        <v>97</v>
      </c>
      <c r="B554" t="s">
        <v>18</v>
      </c>
      <c r="C554" t="s">
        <v>98</v>
      </c>
      <c r="D554" t="s">
        <v>15</v>
      </c>
      <c r="E554">
        <v>2019</v>
      </c>
      <c r="F554" t="s">
        <v>21</v>
      </c>
      <c r="G554" t="s">
        <v>24</v>
      </c>
      <c r="H554">
        <v>11</v>
      </c>
      <c r="I554">
        <v>2182.5</v>
      </c>
      <c r="J554" t="s">
        <v>36</v>
      </c>
      <c r="K554" s="3">
        <v>43798</v>
      </c>
      <c r="L554" t="s">
        <v>213</v>
      </c>
      <c r="M554" t="s">
        <v>301</v>
      </c>
      <c r="N554" s="6">
        <f>IF(Tabela5[[#This Row],[Dim_Cenario'[Nome Cenario']]]=Tabela5[[#Headers],[INIC Atual]],Tabela5[[#This Row],['[Valores_cenario']]],0)</f>
        <v>0</v>
      </c>
      <c r="O554" s="6">
        <f>IF(Tabela5[[#This Row],[Dim_Cenario'[Nome Cenario']]]=Tabela5[[#Headers],[Revisado]],Tabela5[[#This Row],['[Valores_cenario']]],0)</f>
        <v>0</v>
      </c>
      <c r="P554" s="6">
        <f>IF(Tabela5[[#This Row],[Dim_Cenario'[Nome Cenario']]]=Tabela5[[#Headers],[Realizado]],Tabela5[[#This Row],['[Valores_cenario']]],0)</f>
        <v>2182.5</v>
      </c>
    </row>
    <row r="555" hidden="1" spans="1:16">
      <c r="A555" t="s">
        <v>97</v>
      </c>
      <c r="B555" t="s">
        <v>18</v>
      </c>
      <c r="C555" t="s">
        <v>98</v>
      </c>
      <c r="D555" t="s">
        <v>15</v>
      </c>
      <c r="E555">
        <v>2019</v>
      </c>
      <c r="F555" t="s">
        <v>21</v>
      </c>
      <c r="G555" t="s">
        <v>24</v>
      </c>
      <c r="H555">
        <v>11</v>
      </c>
      <c r="I555">
        <v>9457.5</v>
      </c>
      <c r="J555" t="s">
        <v>36</v>
      </c>
      <c r="K555" s="3">
        <v>43799</v>
      </c>
      <c r="L555" t="s">
        <v>213</v>
      </c>
      <c r="M555" t="s">
        <v>302</v>
      </c>
      <c r="N555" s="6">
        <f>IF(Tabela5[[#This Row],[Dim_Cenario'[Nome Cenario']]]=Tabela5[[#Headers],[INIC Atual]],Tabela5[[#This Row],['[Valores_cenario']]],0)</f>
        <v>0</v>
      </c>
      <c r="O555" s="6">
        <f>IF(Tabela5[[#This Row],[Dim_Cenario'[Nome Cenario']]]=Tabela5[[#Headers],[Revisado]],Tabela5[[#This Row],['[Valores_cenario']]],0)</f>
        <v>0</v>
      </c>
      <c r="P555" s="6">
        <f>IF(Tabela5[[#This Row],[Dim_Cenario'[Nome Cenario']]]=Tabela5[[#Headers],[Realizado]],Tabela5[[#This Row],['[Valores_cenario']]],0)</f>
        <v>9457.5</v>
      </c>
    </row>
    <row r="556" hidden="1" spans="1:16">
      <c r="A556" t="s">
        <v>97</v>
      </c>
      <c r="B556" t="s">
        <v>18</v>
      </c>
      <c r="C556" t="s">
        <v>98</v>
      </c>
      <c r="D556" t="s">
        <v>15</v>
      </c>
      <c r="E556">
        <v>2019</v>
      </c>
      <c r="F556" t="s">
        <v>21</v>
      </c>
      <c r="G556" t="s">
        <v>32</v>
      </c>
      <c r="H556">
        <v>12</v>
      </c>
      <c r="I556">
        <v>-9457.5</v>
      </c>
      <c r="J556" t="s">
        <v>36</v>
      </c>
      <c r="K556" s="3">
        <v>43800</v>
      </c>
      <c r="L556" t="s">
        <v>213</v>
      </c>
      <c r="M556" t="s">
        <v>302</v>
      </c>
      <c r="N556" s="6">
        <f>IF(Tabela5[[#This Row],[Dim_Cenario'[Nome Cenario']]]=Tabela5[[#Headers],[INIC Atual]],Tabela5[[#This Row],['[Valores_cenario']]],0)</f>
        <v>0</v>
      </c>
      <c r="O556" s="6">
        <f>IF(Tabela5[[#This Row],[Dim_Cenario'[Nome Cenario']]]=Tabela5[[#Headers],[Revisado]],Tabela5[[#This Row],['[Valores_cenario']]],0)</f>
        <v>0</v>
      </c>
      <c r="P556" s="6">
        <f>IF(Tabela5[[#This Row],[Dim_Cenario'[Nome Cenario']]]=Tabela5[[#Headers],[Realizado]],Tabela5[[#This Row],['[Valores_cenario']]],0)</f>
        <v>-9457.5</v>
      </c>
    </row>
    <row r="557" hidden="1" spans="1:16">
      <c r="A557" t="s">
        <v>17</v>
      </c>
      <c r="B557" t="s">
        <v>18</v>
      </c>
      <c r="C557" t="s">
        <v>37</v>
      </c>
      <c r="D557" t="s">
        <v>15</v>
      </c>
      <c r="E557">
        <v>2022</v>
      </c>
      <c r="F557" t="s">
        <v>21</v>
      </c>
      <c r="G557" t="s">
        <v>32</v>
      </c>
      <c r="H557">
        <v>12</v>
      </c>
      <c r="I557">
        <v>-7830</v>
      </c>
      <c r="J557" t="s">
        <v>23</v>
      </c>
      <c r="K557" s="3">
        <v>44926</v>
      </c>
      <c r="L557" t="s">
        <v>50</v>
      </c>
      <c r="M557" t="s">
        <v>303</v>
      </c>
      <c r="N557" s="6">
        <f>IF(Tabela5[[#This Row],[Dim_Cenario'[Nome Cenario']]]=Tabela5[[#Headers],[INIC Atual]],Tabela5[[#This Row],['[Valores_cenario']]],0)</f>
        <v>0</v>
      </c>
      <c r="O557" s="6">
        <f>IF(Tabela5[[#This Row],[Dim_Cenario'[Nome Cenario']]]=Tabela5[[#Headers],[Revisado]],Tabela5[[#This Row],['[Valores_cenario']]],0)</f>
        <v>0</v>
      </c>
      <c r="P557" s="6">
        <f>IF(Tabela5[[#This Row],[Dim_Cenario'[Nome Cenario']]]=Tabela5[[#Headers],[Realizado]],Tabela5[[#This Row],['[Valores_cenario']]],0)</f>
        <v>-7830</v>
      </c>
    </row>
    <row r="558" hidden="1" spans="1:16">
      <c r="A558" t="s">
        <v>17</v>
      </c>
      <c r="B558" t="s">
        <v>18</v>
      </c>
      <c r="C558" t="s">
        <v>37</v>
      </c>
      <c r="D558" t="s">
        <v>15</v>
      </c>
      <c r="E558">
        <v>2022</v>
      </c>
      <c r="F558" t="s">
        <v>21</v>
      </c>
      <c r="G558" t="s">
        <v>32</v>
      </c>
      <c r="H558">
        <v>12</v>
      </c>
      <c r="I558">
        <v>-15660</v>
      </c>
      <c r="J558" t="s">
        <v>23</v>
      </c>
      <c r="K558" s="3">
        <v>44926</v>
      </c>
      <c r="L558" t="s">
        <v>50</v>
      </c>
      <c r="M558" t="s">
        <v>304</v>
      </c>
      <c r="N558" s="6">
        <f>IF(Tabela5[[#This Row],[Dim_Cenario'[Nome Cenario']]]=Tabela5[[#Headers],[INIC Atual]],Tabela5[[#This Row],['[Valores_cenario']]],0)</f>
        <v>0</v>
      </c>
      <c r="O558" s="6">
        <f>IF(Tabela5[[#This Row],[Dim_Cenario'[Nome Cenario']]]=Tabela5[[#Headers],[Revisado]],Tabela5[[#This Row],['[Valores_cenario']]],0)</f>
        <v>0</v>
      </c>
      <c r="P558" s="6">
        <f>IF(Tabela5[[#This Row],[Dim_Cenario'[Nome Cenario']]]=Tabela5[[#Headers],[Realizado]],Tabela5[[#This Row],['[Valores_cenario']]],0)</f>
        <v>-15660</v>
      </c>
    </row>
    <row r="559" hidden="1" spans="1:16">
      <c r="A559" t="s">
        <v>17</v>
      </c>
      <c r="B559" t="s">
        <v>18</v>
      </c>
      <c r="C559" t="s">
        <v>37</v>
      </c>
      <c r="D559" t="s">
        <v>15</v>
      </c>
      <c r="E559">
        <v>2022</v>
      </c>
      <c r="F559" t="s">
        <v>21</v>
      </c>
      <c r="G559" t="s">
        <v>32</v>
      </c>
      <c r="H559">
        <v>12</v>
      </c>
      <c r="I559">
        <v>-55955.69</v>
      </c>
      <c r="J559" t="s">
        <v>23</v>
      </c>
      <c r="K559" s="3">
        <v>44926</v>
      </c>
      <c r="L559" t="s">
        <v>50</v>
      </c>
      <c r="M559" t="s">
        <v>305</v>
      </c>
      <c r="N559" s="6">
        <f>IF(Tabela5[[#This Row],[Dim_Cenario'[Nome Cenario']]]=Tabela5[[#Headers],[INIC Atual]],Tabela5[[#This Row],['[Valores_cenario']]],0)</f>
        <v>0</v>
      </c>
      <c r="O559" s="6">
        <f>IF(Tabela5[[#This Row],[Dim_Cenario'[Nome Cenario']]]=Tabela5[[#Headers],[Revisado]],Tabela5[[#This Row],['[Valores_cenario']]],0)</f>
        <v>0</v>
      </c>
      <c r="P559" s="6">
        <f>IF(Tabela5[[#This Row],[Dim_Cenario'[Nome Cenario']]]=Tabela5[[#Headers],[Realizado]],Tabela5[[#This Row],['[Valores_cenario']]],0)</f>
        <v>-55955.69</v>
      </c>
    </row>
    <row r="560" hidden="1" spans="1:16">
      <c r="A560" t="s">
        <v>17</v>
      </c>
      <c r="B560" t="s">
        <v>18</v>
      </c>
      <c r="C560" t="s">
        <v>96</v>
      </c>
      <c r="D560" t="s">
        <v>15</v>
      </c>
      <c r="E560">
        <v>2019</v>
      </c>
      <c r="F560" t="s">
        <v>21</v>
      </c>
      <c r="G560" t="s">
        <v>32</v>
      </c>
      <c r="H560">
        <v>12</v>
      </c>
      <c r="I560">
        <v>26667</v>
      </c>
      <c r="J560" t="s">
        <v>36</v>
      </c>
      <c r="K560" s="3">
        <v>43811</v>
      </c>
      <c r="L560" t="s">
        <v>306</v>
      </c>
      <c r="M560" t="s">
        <v>307</v>
      </c>
      <c r="N560" s="6">
        <f>IF(Tabela5[[#This Row],[Dim_Cenario'[Nome Cenario']]]=Tabela5[[#Headers],[INIC Atual]],Tabela5[[#This Row],['[Valores_cenario']]],0)</f>
        <v>0</v>
      </c>
      <c r="O560" s="6">
        <f>IF(Tabela5[[#This Row],[Dim_Cenario'[Nome Cenario']]]=Tabela5[[#Headers],[Revisado]],Tabela5[[#This Row],['[Valores_cenario']]],0)</f>
        <v>0</v>
      </c>
      <c r="P560" s="6">
        <f>IF(Tabela5[[#This Row],[Dim_Cenario'[Nome Cenario']]]=Tabela5[[#Headers],[Realizado]],Tabela5[[#This Row],['[Valores_cenario']]],0)</f>
        <v>26667</v>
      </c>
    </row>
    <row r="561" spans="1:16">
      <c r="A561" t="s">
        <v>17</v>
      </c>
      <c r="B561" t="s">
        <v>18</v>
      </c>
      <c r="C561" t="s">
        <v>37</v>
      </c>
      <c r="D561" t="s">
        <v>15</v>
      </c>
      <c r="E561">
        <v>2020</v>
      </c>
      <c r="F561" t="s">
        <v>25</v>
      </c>
      <c r="G561" t="s">
        <v>35</v>
      </c>
      <c r="H561">
        <v>1</v>
      </c>
      <c r="I561">
        <v>1738.5</v>
      </c>
      <c r="J561" t="s">
        <v>36</v>
      </c>
      <c r="K561" s="3">
        <v>43846</v>
      </c>
      <c r="L561" t="s">
        <v>50</v>
      </c>
      <c r="M561" t="s">
        <v>308</v>
      </c>
      <c r="N561" s="6">
        <f>IF(Tabela5[[#This Row],[Dim_Cenario'[Nome Cenario']]]=Tabela5[[#Headers],[INIC Atual]],Tabela5[[#This Row],['[Valores_cenario']]],0)</f>
        <v>0</v>
      </c>
      <c r="O561" s="6">
        <f>IF(Tabela5[[#This Row],[Dim_Cenario'[Nome Cenario']]]=Tabela5[[#Headers],[Revisado]],Tabela5[[#This Row],['[Valores_cenario']]],0)</f>
        <v>0</v>
      </c>
      <c r="P561" s="6">
        <f>IF(Tabela5[[#This Row],[Dim_Cenario'[Nome Cenario']]]=Tabela5[[#Headers],[Realizado]],Tabela5[[#This Row],['[Valores_cenario']]],0)</f>
        <v>1738.5</v>
      </c>
    </row>
    <row r="562" hidden="1" spans="1:16">
      <c r="A562" t="s">
        <v>97</v>
      </c>
      <c r="B562" t="s">
        <v>18</v>
      </c>
      <c r="C562" t="s">
        <v>98</v>
      </c>
      <c r="D562" t="s">
        <v>15</v>
      </c>
      <c r="E562">
        <v>2019</v>
      </c>
      <c r="F562" t="s">
        <v>21</v>
      </c>
      <c r="G562" t="s">
        <v>32</v>
      </c>
      <c r="H562">
        <v>12</v>
      </c>
      <c r="I562">
        <v>2182.5</v>
      </c>
      <c r="J562" t="s">
        <v>36</v>
      </c>
      <c r="K562" s="3">
        <v>43817</v>
      </c>
      <c r="L562" t="s">
        <v>213</v>
      </c>
      <c r="M562" t="s">
        <v>309</v>
      </c>
      <c r="N562" s="6">
        <f>IF(Tabela5[[#This Row],[Dim_Cenario'[Nome Cenario']]]=Tabela5[[#Headers],[INIC Atual]],Tabela5[[#This Row],['[Valores_cenario']]],0)</f>
        <v>0</v>
      </c>
      <c r="O562" s="6">
        <f>IF(Tabela5[[#This Row],[Dim_Cenario'[Nome Cenario']]]=Tabela5[[#Headers],[Revisado]],Tabela5[[#This Row],['[Valores_cenario']]],0)</f>
        <v>0</v>
      </c>
      <c r="P562" s="6">
        <f>IF(Tabela5[[#This Row],[Dim_Cenario'[Nome Cenario']]]=Tabela5[[#Headers],[Realizado]],Tabela5[[#This Row],['[Valores_cenario']]],0)</f>
        <v>2182.5</v>
      </c>
    </row>
    <row r="563" spans="1:16">
      <c r="A563" t="s">
        <v>17</v>
      </c>
      <c r="B563" t="s">
        <v>92</v>
      </c>
      <c r="C563" t="s">
        <v>37</v>
      </c>
      <c r="D563" t="s">
        <v>15</v>
      </c>
      <c r="E563">
        <v>2024</v>
      </c>
      <c r="F563" t="s">
        <v>21</v>
      </c>
      <c r="G563" t="s">
        <v>22</v>
      </c>
      <c r="H563">
        <v>10</v>
      </c>
      <c r="I563">
        <v>1728.49</v>
      </c>
      <c r="J563" t="s">
        <v>23</v>
      </c>
      <c r="K563" s="3">
        <v>45596</v>
      </c>
      <c r="M563" t="s">
        <v>310</v>
      </c>
      <c r="N563" s="6">
        <f>IF(Tabela5[[#This Row],[Dim_Cenario'[Nome Cenario']]]=Tabela5[[#Headers],[INIC Atual]],Tabela5[[#This Row],['[Valores_cenario']]],0)</f>
        <v>0</v>
      </c>
      <c r="O563" s="6">
        <f>IF(Tabela5[[#This Row],[Dim_Cenario'[Nome Cenario']]]=Tabela5[[#Headers],[Revisado]],Tabela5[[#This Row],['[Valores_cenario']]],0)</f>
        <v>0</v>
      </c>
      <c r="P563" s="6">
        <f>IF(Tabela5[[#This Row],[Dim_Cenario'[Nome Cenario']]]=Tabela5[[#Headers],[Realizado]],Tabela5[[#This Row],['[Valores_cenario']]],0)</f>
        <v>1728.49</v>
      </c>
    </row>
    <row r="564" hidden="1" spans="1:16">
      <c r="A564" t="s">
        <v>17</v>
      </c>
      <c r="B564" t="s">
        <v>18</v>
      </c>
      <c r="C564" t="s">
        <v>96</v>
      </c>
      <c r="D564" t="s">
        <v>15</v>
      </c>
      <c r="E564">
        <v>2019</v>
      </c>
      <c r="F564" t="s">
        <v>21</v>
      </c>
      <c r="G564" t="s">
        <v>32</v>
      </c>
      <c r="H564">
        <v>12</v>
      </c>
      <c r="I564">
        <v>26667</v>
      </c>
      <c r="J564" t="s">
        <v>36</v>
      </c>
      <c r="K564" s="3">
        <v>43825</v>
      </c>
      <c r="L564" t="s">
        <v>306</v>
      </c>
      <c r="M564" t="s">
        <v>311</v>
      </c>
      <c r="N564" s="6">
        <f>IF(Tabela5[[#This Row],[Dim_Cenario'[Nome Cenario']]]=Tabela5[[#Headers],[INIC Atual]],Tabela5[[#This Row],['[Valores_cenario']]],0)</f>
        <v>0</v>
      </c>
      <c r="O564" s="6">
        <f>IF(Tabela5[[#This Row],[Dim_Cenario'[Nome Cenario']]]=Tabela5[[#Headers],[Revisado]],Tabela5[[#This Row],['[Valores_cenario']]],0)</f>
        <v>0</v>
      </c>
      <c r="P564" s="6">
        <f>IF(Tabela5[[#This Row],[Dim_Cenario'[Nome Cenario']]]=Tabela5[[#Headers],[Realizado]],Tabela5[[#This Row],['[Valores_cenario']]],0)</f>
        <v>26667</v>
      </c>
    </row>
    <row r="565" spans="1:16">
      <c r="A565" t="s">
        <v>17</v>
      </c>
      <c r="B565" t="s">
        <v>18</v>
      </c>
      <c r="C565" t="s">
        <v>37</v>
      </c>
      <c r="D565" t="s">
        <v>15</v>
      </c>
      <c r="E565">
        <v>2020</v>
      </c>
      <c r="F565" t="s">
        <v>25</v>
      </c>
      <c r="G565" t="s">
        <v>35</v>
      </c>
      <c r="H565">
        <v>1</v>
      </c>
      <c r="I565">
        <v>1713</v>
      </c>
      <c r="J565" t="s">
        <v>36</v>
      </c>
      <c r="K565" s="3">
        <v>43833</v>
      </c>
      <c r="L565" t="s">
        <v>50</v>
      </c>
      <c r="M565" t="s">
        <v>312</v>
      </c>
      <c r="N565" s="6">
        <f>IF(Tabela5[[#This Row],[Dim_Cenario'[Nome Cenario']]]=Tabela5[[#Headers],[INIC Atual]],Tabela5[[#This Row],['[Valores_cenario']]],0)</f>
        <v>0</v>
      </c>
      <c r="O565" s="6">
        <f>IF(Tabela5[[#This Row],[Dim_Cenario'[Nome Cenario']]]=Tabela5[[#Headers],[Revisado]],Tabela5[[#This Row],['[Valores_cenario']]],0)</f>
        <v>0</v>
      </c>
      <c r="P565" s="6">
        <f>IF(Tabela5[[#This Row],[Dim_Cenario'[Nome Cenario']]]=Tabela5[[#Headers],[Realizado]],Tabela5[[#This Row],['[Valores_cenario']]],0)</f>
        <v>1713</v>
      </c>
    </row>
    <row r="566" spans="1:16">
      <c r="A566" t="s">
        <v>17</v>
      </c>
      <c r="B566" t="s">
        <v>18</v>
      </c>
      <c r="C566" t="s">
        <v>37</v>
      </c>
      <c r="D566" t="s">
        <v>15</v>
      </c>
      <c r="E566">
        <v>2019</v>
      </c>
      <c r="F566" t="s">
        <v>21</v>
      </c>
      <c r="G566" t="s">
        <v>32</v>
      </c>
      <c r="H566">
        <v>12</v>
      </c>
      <c r="I566">
        <v>1700</v>
      </c>
      <c r="J566" t="s">
        <v>36</v>
      </c>
      <c r="K566" s="3">
        <v>43822</v>
      </c>
      <c r="L566" t="s">
        <v>50</v>
      </c>
      <c r="M566" t="s">
        <v>313</v>
      </c>
      <c r="N566" s="6">
        <f>IF(Tabela5[[#This Row],[Dim_Cenario'[Nome Cenario']]]=Tabela5[[#Headers],[INIC Atual]],Tabela5[[#This Row],['[Valores_cenario']]],0)</f>
        <v>0</v>
      </c>
      <c r="O566" s="6">
        <f>IF(Tabela5[[#This Row],[Dim_Cenario'[Nome Cenario']]]=Tabela5[[#Headers],[Revisado]],Tabela5[[#This Row],['[Valores_cenario']]],0)</f>
        <v>0</v>
      </c>
      <c r="P566" s="6">
        <f>IF(Tabela5[[#This Row],[Dim_Cenario'[Nome Cenario']]]=Tabela5[[#Headers],[Realizado]],Tabela5[[#This Row],['[Valores_cenario']]],0)</f>
        <v>1700</v>
      </c>
    </row>
    <row r="567" hidden="1" spans="1:16">
      <c r="A567" t="s">
        <v>17</v>
      </c>
      <c r="B567" t="s">
        <v>92</v>
      </c>
      <c r="C567" t="s">
        <v>37</v>
      </c>
      <c r="D567" t="s">
        <v>15</v>
      </c>
      <c r="E567">
        <v>2022</v>
      </c>
      <c r="F567" t="s">
        <v>21</v>
      </c>
      <c r="G567" t="s">
        <v>22</v>
      </c>
      <c r="H567">
        <v>10</v>
      </c>
      <c r="I567">
        <v>22130.39</v>
      </c>
      <c r="J567" t="s">
        <v>23</v>
      </c>
      <c r="K567" s="3">
        <v>44865</v>
      </c>
      <c r="M567" t="s">
        <v>314</v>
      </c>
      <c r="N567" s="6">
        <f>IF(Tabela5[[#This Row],[Dim_Cenario'[Nome Cenario']]]=Tabela5[[#Headers],[INIC Atual]],Tabela5[[#This Row],['[Valores_cenario']]],0)</f>
        <v>0</v>
      </c>
      <c r="O567" s="6">
        <f>IF(Tabela5[[#This Row],[Dim_Cenario'[Nome Cenario']]]=Tabela5[[#Headers],[Revisado]],Tabela5[[#This Row],['[Valores_cenario']]],0)</f>
        <v>0</v>
      </c>
      <c r="P567" s="6">
        <f>IF(Tabela5[[#This Row],[Dim_Cenario'[Nome Cenario']]]=Tabela5[[#Headers],[Realizado]],Tabela5[[#This Row],['[Valores_cenario']]],0)</f>
        <v>22130.39</v>
      </c>
    </row>
    <row r="568" hidden="1" spans="1:16">
      <c r="A568" t="s">
        <v>97</v>
      </c>
      <c r="B568" t="s">
        <v>18</v>
      </c>
      <c r="C568" t="s">
        <v>98</v>
      </c>
      <c r="D568" t="s">
        <v>15</v>
      </c>
      <c r="E568">
        <v>2019</v>
      </c>
      <c r="F568" t="s">
        <v>21</v>
      </c>
      <c r="G568" t="s">
        <v>32</v>
      </c>
      <c r="H568">
        <v>12</v>
      </c>
      <c r="I568">
        <v>9457.5</v>
      </c>
      <c r="J568" t="s">
        <v>36</v>
      </c>
      <c r="K568" s="3">
        <v>43829</v>
      </c>
      <c r="L568" t="s">
        <v>213</v>
      </c>
      <c r="M568" t="s">
        <v>315</v>
      </c>
      <c r="N568" s="6">
        <f>IF(Tabela5[[#This Row],[Dim_Cenario'[Nome Cenario']]]=Tabela5[[#Headers],[INIC Atual]],Tabela5[[#This Row],['[Valores_cenario']]],0)</f>
        <v>0</v>
      </c>
      <c r="O568" s="6">
        <f>IF(Tabela5[[#This Row],[Dim_Cenario'[Nome Cenario']]]=Tabela5[[#Headers],[Revisado]],Tabela5[[#This Row],['[Valores_cenario']]],0)</f>
        <v>0</v>
      </c>
      <c r="P568" s="6">
        <f>IF(Tabela5[[#This Row],[Dim_Cenario'[Nome Cenario']]]=Tabela5[[#Headers],[Realizado]],Tabela5[[#This Row],['[Valores_cenario']]],0)</f>
        <v>9457.5</v>
      </c>
    </row>
    <row r="569" hidden="1" spans="1:16">
      <c r="A569" t="s">
        <v>97</v>
      </c>
      <c r="B569" t="s">
        <v>18</v>
      </c>
      <c r="C569" t="s">
        <v>98</v>
      </c>
      <c r="D569" t="s">
        <v>15</v>
      </c>
      <c r="E569">
        <v>2019</v>
      </c>
      <c r="F569" t="s">
        <v>21</v>
      </c>
      <c r="G569" t="s">
        <v>32</v>
      </c>
      <c r="H569">
        <v>12</v>
      </c>
      <c r="I569">
        <v>2182.5</v>
      </c>
      <c r="J569" t="s">
        <v>36</v>
      </c>
      <c r="K569" s="3">
        <v>43829</v>
      </c>
      <c r="L569" t="s">
        <v>213</v>
      </c>
      <c r="M569" t="s">
        <v>316</v>
      </c>
      <c r="N569" s="6">
        <f>IF(Tabela5[[#This Row],[Dim_Cenario'[Nome Cenario']]]=Tabela5[[#Headers],[INIC Atual]],Tabela5[[#This Row],['[Valores_cenario']]],0)</f>
        <v>0</v>
      </c>
      <c r="O569" s="6">
        <f>IF(Tabela5[[#This Row],[Dim_Cenario'[Nome Cenario']]]=Tabela5[[#Headers],[Revisado]],Tabela5[[#This Row],['[Valores_cenario']]],0)</f>
        <v>0</v>
      </c>
      <c r="P569" s="6">
        <f>IF(Tabela5[[#This Row],[Dim_Cenario'[Nome Cenario']]]=Tabela5[[#Headers],[Realizado]],Tabela5[[#This Row],['[Valores_cenario']]],0)</f>
        <v>2182.5</v>
      </c>
    </row>
    <row r="570" hidden="1" spans="1:16">
      <c r="A570" t="s">
        <v>97</v>
      </c>
      <c r="B570" t="s">
        <v>18</v>
      </c>
      <c r="C570" t="s">
        <v>98</v>
      </c>
      <c r="D570" t="s">
        <v>15</v>
      </c>
      <c r="E570">
        <v>2019</v>
      </c>
      <c r="F570" t="s">
        <v>21</v>
      </c>
      <c r="G570" t="s">
        <v>32</v>
      </c>
      <c r="H570">
        <v>12</v>
      </c>
      <c r="I570">
        <v>6547.5</v>
      </c>
      <c r="J570" t="s">
        <v>36</v>
      </c>
      <c r="K570" s="3">
        <v>43829</v>
      </c>
      <c r="L570" t="s">
        <v>213</v>
      </c>
      <c r="M570" t="s">
        <v>317</v>
      </c>
      <c r="N570" s="6">
        <f>IF(Tabela5[[#This Row],[Dim_Cenario'[Nome Cenario']]]=Tabela5[[#Headers],[INIC Atual]],Tabela5[[#This Row],['[Valores_cenario']]],0)</f>
        <v>0</v>
      </c>
      <c r="O570" s="6">
        <f>IF(Tabela5[[#This Row],[Dim_Cenario'[Nome Cenario']]]=Tabela5[[#Headers],[Revisado]],Tabela5[[#This Row],['[Valores_cenario']]],0)</f>
        <v>0</v>
      </c>
      <c r="P570" s="6">
        <f>IF(Tabela5[[#This Row],[Dim_Cenario'[Nome Cenario']]]=Tabela5[[#Headers],[Realizado]],Tabela5[[#This Row],['[Valores_cenario']]],0)</f>
        <v>6547.5</v>
      </c>
    </row>
    <row r="571" hidden="1" spans="1:16">
      <c r="A571" t="s">
        <v>97</v>
      </c>
      <c r="B571" t="s">
        <v>18</v>
      </c>
      <c r="C571" t="s">
        <v>98</v>
      </c>
      <c r="D571" t="s">
        <v>15</v>
      </c>
      <c r="E571">
        <v>2019</v>
      </c>
      <c r="F571" t="s">
        <v>21</v>
      </c>
      <c r="G571" t="s">
        <v>32</v>
      </c>
      <c r="H571">
        <v>12</v>
      </c>
      <c r="I571">
        <v>727.5</v>
      </c>
      <c r="J571" t="s">
        <v>36</v>
      </c>
      <c r="K571" s="3">
        <v>43829</v>
      </c>
      <c r="L571" t="s">
        <v>213</v>
      </c>
      <c r="M571" t="s">
        <v>318</v>
      </c>
      <c r="N571" s="6">
        <f>IF(Tabela5[[#This Row],[Dim_Cenario'[Nome Cenario']]]=Tabela5[[#Headers],[INIC Atual]],Tabela5[[#This Row],['[Valores_cenario']]],0)</f>
        <v>0</v>
      </c>
      <c r="O571" s="6">
        <f>IF(Tabela5[[#This Row],[Dim_Cenario'[Nome Cenario']]]=Tabela5[[#Headers],[Revisado]],Tabela5[[#This Row],['[Valores_cenario']]],0)</f>
        <v>0</v>
      </c>
      <c r="P571" s="6">
        <f>IF(Tabela5[[#This Row],[Dim_Cenario'[Nome Cenario']]]=Tabela5[[#Headers],[Realizado]],Tabela5[[#This Row],['[Valores_cenario']]],0)</f>
        <v>727.5</v>
      </c>
    </row>
    <row r="572" hidden="1" spans="1:16">
      <c r="A572" t="s">
        <v>97</v>
      </c>
      <c r="B572" t="s">
        <v>18</v>
      </c>
      <c r="C572" t="s">
        <v>98</v>
      </c>
      <c r="D572" t="s">
        <v>15</v>
      </c>
      <c r="E572">
        <v>2019</v>
      </c>
      <c r="F572" t="s">
        <v>21</v>
      </c>
      <c r="G572" t="s">
        <v>32</v>
      </c>
      <c r="H572">
        <v>12</v>
      </c>
      <c r="I572">
        <v>9457.5</v>
      </c>
      <c r="J572" t="s">
        <v>36</v>
      </c>
      <c r="K572" s="3">
        <v>43829</v>
      </c>
      <c r="L572" t="s">
        <v>213</v>
      </c>
      <c r="M572" t="s">
        <v>319</v>
      </c>
      <c r="N572" s="6">
        <f>IF(Tabela5[[#This Row],[Dim_Cenario'[Nome Cenario']]]=Tabela5[[#Headers],[INIC Atual]],Tabela5[[#This Row],['[Valores_cenario']]],0)</f>
        <v>0</v>
      </c>
      <c r="O572" s="6">
        <f>IF(Tabela5[[#This Row],[Dim_Cenario'[Nome Cenario']]]=Tabela5[[#Headers],[Revisado]],Tabela5[[#This Row],['[Valores_cenario']]],0)</f>
        <v>0</v>
      </c>
      <c r="P572" s="6">
        <f>IF(Tabela5[[#This Row],[Dim_Cenario'[Nome Cenario']]]=Tabela5[[#Headers],[Realizado]],Tabela5[[#This Row],['[Valores_cenario']]],0)</f>
        <v>9457.5</v>
      </c>
    </row>
    <row r="573" spans="1:16">
      <c r="A573" t="s">
        <v>17</v>
      </c>
      <c r="B573" t="s">
        <v>92</v>
      </c>
      <c r="C573" t="s">
        <v>37</v>
      </c>
      <c r="D573" t="s">
        <v>15</v>
      </c>
      <c r="E573">
        <v>2022</v>
      </c>
      <c r="F573" t="s">
        <v>21</v>
      </c>
      <c r="G573" t="s">
        <v>24</v>
      </c>
      <c r="H573">
        <v>11</v>
      </c>
      <c r="I573">
        <v>1689.96</v>
      </c>
      <c r="J573" t="s">
        <v>23</v>
      </c>
      <c r="K573" s="3">
        <v>44895</v>
      </c>
      <c r="M573" t="s">
        <v>320</v>
      </c>
      <c r="N573" s="6">
        <f>IF(Tabela5[[#This Row],[Dim_Cenario'[Nome Cenario']]]=Tabela5[[#Headers],[INIC Atual]],Tabela5[[#This Row],['[Valores_cenario']]],0)</f>
        <v>0</v>
      </c>
      <c r="O573" s="6">
        <f>IF(Tabela5[[#This Row],[Dim_Cenario'[Nome Cenario']]]=Tabela5[[#Headers],[Revisado]],Tabela5[[#This Row],['[Valores_cenario']]],0)</f>
        <v>0</v>
      </c>
      <c r="P573" s="6">
        <f>IF(Tabela5[[#This Row],[Dim_Cenario'[Nome Cenario']]]=Tabela5[[#Headers],[Realizado]],Tabela5[[#This Row],['[Valores_cenario']]],0)</f>
        <v>1689.96</v>
      </c>
    </row>
    <row r="574" spans="1:16">
      <c r="A574" t="s">
        <v>17</v>
      </c>
      <c r="B574" t="s">
        <v>92</v>
      </c>
      <c r="C574" t="s">
        <v>37</v>
      </c>
      <c r="D574" t="s">
        <v>15</v>
      </c>
      <c r="E574">
        <v>2023</v>
      </c>
      <c r="F574" t="s">
        <v>21</v>
      </c>
      <c r="G574" t="s">
        <v>22</v>
      </c>
      <c r="H574">
        <v>10</v>
      </c>
      <c r="I574">
        <v>1678.74</v>
      </c>
      <c r="J574" t="s">
        <v>23</v>
      </c>
      <c r="K574" s="3">
        <v>45230</v>
      </c>
      <c r="M574" t="s">
        <v>321</v>
      </c>
      <c r="N574" s="6">
        <f>IF(Tabela5[[#This Row],[Dim_Cenario'[Nome Cenario']]]=Tabela5[[#Headers],[INIC Atual]],Tabela5[[#This Row],['[Valores_cenario']]],0)</f>
        <v>0</v>
      </c>
      <c r="O574" s="6">
        <f>IF(Tabela5[[#This Row],[Dim_Cenario'[Nome Cenario']]]=Tabela5[[#Headers],[Revisado]],Tabela5[[#This Row],['[Valores_cenario']]],0)</f>
        <v>0</v>
      </c>
      <c r="P574" s="6">
        <f>IF(Tabela5[[#This Row],[Dim_Cenario'[Nome Cenario']]]=Tabela5[[#Headers],[Realizado]],Tabela5[[#This Row],['[Valores_cenario']]],0)</f>
        <v>1678.74</v>
      </c>
    </row>
    <row r="575" hidden="1" spans="1:16">
      <c r="A575" t="s">
        <v>17</v>
      </c>
      <c r="B575" t="s">
        <v>18</v>
      </c>
      <c r="C575" t="s">
        <v>37</v>
      </c>
      <c r="D575" t="s">
        <v>20</v>
      </c>
      <c r="E575">
        <v>2023</v>
      </c>
      <c r="F575" t="s">
        <v>25</v>
      </c>
      <c r="G575" t="s">
        <v>35</v>
      </c>
      <c r="H575">
        <v>1</v>
      </c>
      <c r="I575">
        <v>28479.557</v>
      </c>
      <c r="J575" t="s">
        <v>23</v>
      </c>
      <c r="K575" s="3"/>
      <c r="N575" s="6">
        <f>IF(Tabela5[[#This Row],[Dim_Cenario'[Nome Cenario']]]=Tabela5[[#Headers],[INIC Atual]],Tabela5[[#This Row],['[Valores_cenario']]],0)</f>
        <v>28479.557</v>
      </c>
      <c r="O575" s="6">
        <f>IF(Tabela5[[#This Row],[Dim_Cenario'[Nome Cenario']]]=Tabela5[[#Headers],[Revisado]],Tabela5[[#This Row],['[Valores_cenario']]],0)</f>
        <v>0</v>
      </c>
      <c r="P575" s="6">
        <f>IF(Tabela5[[#This Row],[Dim_Cenario'[Nome Cenario']]]=Tabela5[[#Headers],[Realizado]],Tabela5[[#This Row],['[Valores_cenario']]],0)</f>
        <v>0</v>
      </c>
    </row>
    <row r="576" hidden="1" spans="1:16">
      <c r="A576" t="s">
        <v>17</v>
      </c>
      <c r="B576" t="s">
        <v>18</v>
      </c>
      <c r="C576" t="s">
        <v>37</v>
      </c>
      <c r="D576" t="s">
        <v>20</v>
      </c>
      <c r="E576">
        <v>2023</v>
      </c>
      <c r="F576" t="s">
        <v>25</v>
      </c>
      <c r="G576" t="s">
        <v>26</v>
      </c>
      <c r="H576">
        <v>2</v>
      </c>
      <c r="I576">
        <v>28479.557</v>
      </c>
      <c r="J576" t="s">
        <v>23</v>
      </c>
      <c r="K576" s="3"/>
      <c r="N576" s="6">
        <f>IF(Tabela5[[#This Row],[Dim_Cenario'[Nome Cenario']]]=Tabela5[[#Headers],[INIC Atual]],Tabela5[[#This Row],['[Valores_cenario']]],0)</f>
        <v>28479.557</v>
      </c>
      <c r="O576" s="6">
        <f>IF(Tabela5[[#This Row],[Dim_Cenario'[Nome Cenario']]]=Tabela5[[#Headers],[Revisado]],Tabela5[[#This Row],['[Valores_cenario']]],0)</f>
        <v>0</v>
      </c>
      <c r="P576" s="6">
        <f>IF(Tabela5[[#This Row],[Dim_Cenario'[Nome Cenario']]]=Tabela5[[#Headers],[Realizado]],Tabela5[[#This Row],['[Valores_cenario']]],0)</f>
        <v>0</v>
      </c>
    </row>
    <row r="577" hidden="1" spans="1:16">
      <c r="A577" t="s">
        <v>17</v>
      </c>
      <c r="B577" t="s">
        <v>18</v>
      </c>
      <c r="C577" t="s">
        <v>96</v>
      </c>
      <c r="D577" t="s">
        <v>15</v>
      </c>
      <c r="E577">
        <v>2020</v>
      </c>
      <c r="F577" t="s">
        <v>25</v>
      </c>
      <c r="G577" t="s">
        <v>35</v>
      </c>
      <c r="H577">
        <v>1</v>
      </c>
      <c r="I577">
        <v>26667</v>
      </c>
      <c r="J577" t="s">
        <v>36</v>
      </c>
      <c r="K577" s="3">
        <v>43847</v>
      </c>
      <c r="L577" t="s">
        <v>306</v>
      </c>
      <c r="M577" t="s">
        <v>322</v>
      </c>
      <c r="N577" s="6">
        <f>IF(Tabela5[[#This Row],[Dim_Cenario'[Nome Cenario']]]=Tabela5[[#Headers],[INIC Atual]],Tabela5[[#This Row],['[Valores_cenario']]],0)</f>
        <v>0</v>
      </c>
      <c r="O577" s="6">
        <f>IF(Tabela5[[#This Row],[Dim_Cenario'[Nome Cenario']]]=Tabela5[[#Headers],[Revisado]],Tabela5[[#This Row],['[Valores_cenario']]],0)</f>
        <v>0</v>
      </c>
      <c r="P577" s="6">
        <f>IF(Tabela5[[#This Row],[Dim_Cenario'[Nome Cenario']]]=Tabela5[[#Headers],[Realizado]],Tabela5[[#This Row],['[Valores_cenario']]],0)</f>
        <v>26667</v>
      </c>
    </row>
    <row r="578" hidden="1" spans="1:16">
      <c r="A578" t="s">
        <v>17</v>
      </c>
      <c r="B578" t="s">
        <v>18</v>
      </c>
      <c r="C578" t="s">
        <v>37</v>
      </c>
      <c r="D578" t="s">
        <v>20</v>
      </c>
      <c r="E578">
        <v>2023</v>
      </c>
      <c r="F578" t="s">
        <v>25</v>
      </c>
      <c r="G578" t="s">
        <v>38</v>
      </c>
      <c r="H578">
        <v>3</v>
      </c>
      <c r="I578">
        <v>28479.557</v>
      </c>
      <c r="J578" t="s">
        <v>23</v>
      </c>
      <c r="K578" s="3"/>
      <c r="N578" s="6">
        <f>IF(Tabela5[[#This Row],[Dim_Cenario'[Nome Cenario']]]=Tabela5[[#Headers],[INIC Atual]],Tabela5[[#This Row],['[Valores_cenario']]],0)</f>
        <v>28479.557</v>
      </c>
      <c r="O578" s="6">
        <f>IF(Tabela5[[#This Row],[Dim_Cenario'[Nome Cenario']]]=Tabela5[[#Headers],[Revisado]],Tabela5[[#This Row],['[Valores_cenario']]],0)</f>
        <v>0</v>
      </c>
      <c r="P578" s="6">
        <f>IF(Tabela5[[#This Row],[Dim_Cenario'[Nome Cenario']]]=Tabela5[[#Headers],[Realizado]],Tabela5[[#This Row],['[Valores_cenario']]],0)</f>
        <v>0</v>
      </c>
    </row>
    <row r="579" hidden="1" spans="1:16">
      <c r="A579" t="s">
        <v>97</v>
      </c>
      <c r="B579" t="s">
        <v>18</v>
      </c>
      <c r="C579" t="s">
        <v>98</v>
      </c>
      <c r="D579" t="s">
        <v>15</v>
      </c>
      <c r="E579">
        <v>2020</v>
      </c>
      <c r="F579" t="s">
        <v>25</v>
      </c>
      <c r="G579" t="s">
        <v>35</v>
      </c>
      <c r="H579">
        <v>1</v>
      </c>
      <c r="I579">
        <v>727.5</v>
      </c>
      <c r="J579" t="s">
        <v>36</v>
      </c>
      <c r="K579" s="3">
        <v>43861</v>
      </c>
      <c r="L579" t="s">
        <v>213</v>
      </c>
      <c r="M579" t="s">
        <v>323</v>
      </c>
      <c r="N579" s="6">
        <f>IF(Tabela5[[#This Row],[Dim_Cenario'[Nome Cenario']]]=Tabela5[[#Headers],[INIC Atual]],Tabela5[[#This Row],['[Valores_cenario']]],0)</f>
        <v>0</v>
      </c>
      <c r="O579" s="6">
        <f>IF(Tabela5[[#This Row],[Dim_Cenario'[Nome Cenario']]]=Tabela5[[#Headers],[Revisado]],Tabela5[[#This Row],['[Valores_cenario']]],0)</f>
        <v>0</v>
      </c>
      <c r="P579" s="6">
        <f>IF(Tabela5[[#This Row],[Dim_Cenario'[Nome Cenario']]]=Tabela5[[#Headers],[Realizado]],Tabela5[[#This Row],['[Valores_cenario']]],0)</f>
        <v>727.5</v>
      </c>
    </row>
    <row r="580" hidden="1" spans="1:16">
      <c r="A580" t="s">
        <v>97</v>
      </c>
      <c r="B580" t="s">
        <v>18</v>
      </c>
      <c r="C580" t="s">
        <v>98</v>
      </c>
      <c r="D580" t="s">
        <v>15</v>
      </c>
      <c r="E580">
        <v>2020</v>
      </c>
      <c r="F580" t="s">
        <v>25</v>
      </c>
      <c r="G580" t="s">
        <v>35</v>
      </c>
      <c r="H580">
        <v>1</v>
      </c>
      <c r="I580">
        <v>4365</v>
      </c>
      <c r="J580" t="s">
        <v>36</v>
      </c>
      <c r="K580" s="3">
        <v>43861</v>
      </c>
      <c r="L580" t="s">
        <v>213</v>
      </c>
      <c r="M580" t="s">
        <v>324</v>
      </c>
      <c r="N580" s="6">
        <f>IF(Tabela5[[#This Row],[Dim_Cenario'[Nome Cenario']]]=Tabela5[[#Headers],[INIC Atual]],Tabela5[[#This Row],['[Valores_cenario']]],0)</f>
        <v>0</v>
      </c>
      <c r="O580" s="6">
        <f>IF(Tabela5[[#This Row],[Dim_Cenario'[Nome Cenario']]]=Tabela5[[#Headers],[Revisado]],Tabela5[[#This Row],['[Valores_cenario']]],0)</f>
        <v>0</v>
      </c>
      <c r="P580" s="6">
        <f>IF(Tabela5[[#This Row],[Dim_Cenario'[Nome Cenario']]]=Tabela5[[#Headers],[Realizado]],Tabela5[[#This Row],['[Valores_cenario']]],0)</f>
        <v>4365</v>
      </c>
    </row>
    <row r="581" hidden="1" spans="1:16">
      <c r="A581" t="s">
        <v>97</v>
      </c>
      <c r="B581" t="s">
        <v>18</v>
      </c>
      <c r="C581" t="s">
        <v>98</v>
      </c>
      <c r="D581" t="s">
        <v>15</v>
      </c>
      <c r="E581">
        <v>2020</v>
      </c>
      <c r="F581" t="s">
        <v>25</v>
      </c>
      <c r="G581" t="s">
        <v>35</v>
      </c>
      <c r="H581">
        <v>1</v>
      </c>
      <c r="I581">
        <v>4365</v>
      </c>
      <c r="J581" t="s">
        <v>36</v>
      </c>
      <c r="K581" s="3">
        <v>43861</v>
      </c>
      <c r="L581" t="s">
        <v>213</v>
      </c>
      <c r="M581" t="s">
        <v>325</v>
      </c>
      <c r="N581" s="6">
        <f>IF(Tabela5[[#This Row],[Dim_Cenario'[Nome Cenario']]]=Tabela5[[#Headers],[INIC Atual]],Tabela5[[#This Row],['[Valores_cenario']]],0)</f>
        <v>0</v>
      </c>
      <c r="O581" s="6">
        <f>IF(Tabela5[[#This Row],[Dim_Cenario'[Nome Cenario']]]=Tabela5[[#Headers],[Revisado]],Tabela5[[#This Row],['[Valores_cenario']]],0)</f>
        <v>0</v>
      </c>
      <c r="P581" s="6">
        <f>IF(Tabela5[[#This Row],[Dim_Cenario'[Nome Cenario']]]=Tabela5[[#Headers],[Realizado]],Tabela5[[#This Row],['[Valores_cenario']]],0)</f>
        <v>4365</v>
      </c>
    </row>
    <row r="582" hidden="1" spans="1:16">
      <c r="A582" t="s">
        <v>97</v>
      </c>
      <c r="B582" t="s">
        <v>18</v>
      </c>
      <c r="C582" t="s">
        <v>98</v>
      </c>
      <c r="D582" t="s">
        <v>15</v>
      </c>
      <c r="E582">
        <v>2020</v>
      </c>
      <c r="F582" t="s">
        <v>25</v>
      </c>
      <c r="G582" t="s">
        <v>35</v>
      </c>
      <c r="H582">
        <v>1</v>
      </c>
      <c r="I582">
        <v>4365</v>
      </c>
      <c r="J582" t="s">
        <v>36</v>
      </c>
      <c r="K582" s="3">
        <v>43861</v>
      </c>
      <c r="L582" t="s">
        <v>213</v>
      </c>
      <c r="M582" t="s">
        <v>326</v>
      </c>
      <c r="N582" s="6">
        <f>IF(Tabela5[[#This Row],[Dim_Cenario'[Nome Cenario']]]=Tabela5[[#Headers],[INIC Atual]],Tabela5[[#This Row],['[Valores_cenario']]],0)</f>
        <v>0</v>
      </c>
      <c r="O582" s="6">
        <f>IF(Tabela5[[#This Row],[Dim_Cenario'[Nome Cenario']]]=Tabela5[[#Headers],[Revisado]],Tabela5[[#This Row],['[Valores_cenario']]],0)</f>
        <v>0</v>
      </c>
      <c r="P582" s="6">
        <f>IF(Tabela5[[#This Row],[Dim_Cenario'[Nome Cenario']]]=Tabela5[[#Headers],[Realizado]],Tabela5[[#This Row],['[Valores_cenario']]],0)</f>
        <v>4365</v>
      </c>
    </row>
    <row r="583" hidden="1" spans="1:16">
      <c r="A583" t="s">
        <v>97</v>
      </c>
      <c r="B583" t="s">
        <v>18</v>
      </c>
      <c r="C583" t="s">
        <v>98</v>
      </c>
      <c r="D583" t="s">
        <v>15</v>
      </c>
      <c r="E583">
        <v>2020</v>
      </c>
      <c r="F583" t="s">
        <v>25</v>
      </c>
      <c r="G583" t="s">
        <v>35</v>
      </c>
      <c r="H583">
        <v>1</v>
      </c>
      <c r="I583">
        <v>4365</v>
      </c>
      <c r="J583" t="s">
        <v>36</v>
      </c>
      <c r="K583" s="3">
        <v>43861</v>
      </c>
      <c r="L583" t="s">
        <v>213</v>
      </c>
      <c r="M583" t="s">
        <v>327</v>
      </c>
      <c r="N583" s="6">
        <f>IF(Tabela5[[#This Row],[Dim_Cenario'[Nome Cenario']]]=Tabela5[[#Headers],[INIC Atual]],Tabela5[[#This Row],['[Valores_cenario']]],0)</f>
        <v>0</v>
      </c>
      <c r="O583" s="6">
        <f>IF(Tabela5[[#This Row],[Dim_Cenario'[Nome Cenario']]]=Tabela5[[#Headers],[Revisado]],Tabela5[[#This Row],['[Valores_cenario']]],0)</f>
        <v>0</v>
      </c>
      <c r="P583" s="6">
        <f>IF(Tabela5[[#This Row],[Dim_Cenario'[Nome Cenario']]]=Tabela5[[#Headers],[Realizado]],Tabela5[[#This Row],['[Valores_cenario']]],0)</f>
        <v>4365</v>
      </c>
    </row>
    <row r="584" hidden="1" spans="1:16">
      <c r="A584" t="s">
        <v>97</v>
      </c>
      <c r="B584" t="s">
        <v>18</v>
      </c>
      <c r="C584" t="s">
        <v>98</v>
      </c>
      <c r="D584" t="s">
        <v>15</v>
      </c>
      <c r="E584">
        <v>2020</v>
      </c>
      <c r="F584" t="s">
        <v>25</v>
      </c>
      <c r="G584" t="s">
        <v>35</v>
      </c>
      <c r="H584">
        <v>1</v>
      </c>
      <c r="I584">
        <v>1455</v>
      </c>
      <c r="J584" t="s">
        <v>36</v>
      </c>
      <c r="K584" s="3">
        <v>43861</v>
      </c>
      <c r="L584" t="s">
        <v>213</v>
      </c>
      <c r="M584" t="s">
        <v>328</v>
      </c>
      <c r="N584" s="6">
        <f>IF(Tabela5[[#This Row],[Dim_Cenario'[Nome Cenario']]]=Tabela5[[#Headers],[INIC Atual]],Tabela5[[#This Row],['[Valores_cenario']]],0)</f>
        <v>0</v>
      </c>
      <c r="O584" s="6">
        <f>IF(Tabela5[[#This Row],[Dim_Cenario'[Nome Cenario']]]=Tabela5[[#Headers],[Revisado]],Tabela5[[#This Row],['[Valores_cenario']]],0)</f>
        <v>0</v>
      </c>
      <c r="P584" s="6">
        <f>IF(Tabela5[[#This Row],[Dim_Cenario'[Nome Cenario']]]=Tabela5[[#Headers],[Realizado]],Tabela5[[#This Row],['[Valores_cenario']]],0)</f>
        <v>1455</v>
      </c>
    </row>
    <row r="585" hidden="1" spans="1:16">
      <c r="A585" t="s">
        <v>17</v>
      </c>
      <c r="B585" t="s">
        <v>18</v>
      </c>
      <c r="C585" t="s">
        <v>37</v>
      </c>
      <c r="D585" t="s">
        <v>20</v>
      </c>
      <c r="E585">
        <v>2023</v>
      </c>
      <c r="F585" t="s">
        <v>27</v>
      </c>
      <c r="G585" t="s">
        <v>28</v>
      </c>
      <c r="H585">
        <v>4</v>
      </c>
      <c r="I585">
        <v>28479.557</v>
      </c>
      <c r="J585" t="s">
        <v>23</v>
      </c>
      <c r="K585" s="3"/>
      <c r="N585" s="6">
        <f>IF(Tabela5[[#This Row],[Dim_Cenario'[Nome Cenario']]]=Tabela5[[#Headers],[INIC Atual]],Tabela5[[#This Row],['[Valores_cenario']]],0)</f>
        <v>28479.557</v>
      </c>
      <c r="O585" s="6">
        <f>IF(Tabela5[[#This Row],[Dim_Cenario'[Nome Cenario']]]=Tabela5[[#Headers],[Revisado]],Tabela5[[#This Row],['[Valores_cenario']]],0)</f>
        <v>0</v>
      </c>
      <c r="P585" s="6">
        <f>IF(Tabela5[[#This Row],[Dim_Cenario'[Nome Cenario']]]=Tabela5[[#Headers],[Realizado]],Tabela5[[#This Row],['[Valores_cenario']]],0)</f>
        <v>0</v>
      </c>
    </row>
    <row r="586" hidden="1" spans="1:16">
      <c r="A586" t="s">
        <v>17</v>
      </c>
      <c r="B586" t="s">
        <v>18</v>
      </c>
      <c r="C586" t="s">
        <v>37</v>
      </c>
      <c r="D586" t="s">
        <v>20</v>
      </c>
      <c r="E586">
        <v>2023</v>
      </c>
      <c r="F586" t="s">
        <v>27</v>
      </c>
      <c r="G586" t="s">
        <v>39</v>
      </c>
      <c r="H586">
        <v>5</v>
      </c>
      <c r="I586">
        <v>28479.557</v>
      </c>
      <c r="J586" t="s">
        <v>23</v>
      </c>
      <c r="K586" s="3"/>
      <c r="N586" s="6">
        <f>IF(Tabela5[[#This Row],[Dim_Cenario'[Nome Cenario']]]=Tabela5[[#Headers],[INIC Atual]],Tabela5[[#This Row],['[Valores_cenario']]],0)</f>
        <v>28479.557</v>
      </c>
      <c r="O586" s="6">
        <f>IF(Tabela5[[#This Row],[Dim_Cenario'[Nome Cenario']]]=Tabela5[[#Headers],[Revisado]],Tabela5[[#This Row],['[Valores_cenario']]],0)</f>
        <v>0</v>
      </c>
      <c r="P586" s="6">
        <f>IF(Tabela5[[#This Row],[Dim_Cenario'[Nome Cenario']]]=Tabela5[[#Headers],[Realizado]],Tabela5[[#This Row],['[Valores_cenario']]],0)</f>
        <v>0</v>
      </c>
    </row>
    <row r="587" hidden="1" spans="1:16">
      <c r="A587" t="s">
        <v>17</v>
      </c>
      <c r="B587" t="s">
        <v>18</v>
      </c>
      <c r="C587" t="s">
        <v>37</v>
      </c>
      <c r="D587" t="s">
        <v>20</v>
      </c>
      <c r="E587">
        <v>2023</v>
      </c>
      <c r="F587" t="s">
        <v>27</v>
      </c>
      <c r="G587" t="s">
        <v>29</v>
      </c>
      <c r="H587">
        <v>6</v>
      </c>
      <c r="I587">
        <v>28479.557</v>
      </c>
      <c r="J587" t="s">
        <v>23</v>
      </c>
      <c r="K587" s="3"/>
      <c r="N587" s="6">
        <f>IF(Tabela5[[#This Row],[Dim_Cenario'[Nome Cenario']]]=Tabela5[[#Headers],[INIC Atual]],Tabela5[[#This Row],['[Valores_cenario']]],0)</f>
        <v>28479.557</v>
      </c>
      <c r="O587" s="6">
        <f>IF(Tabela5[[#This Row],[Dim_Cenario'[Nome Cenario']]]=Tabela5[[#Headers],[Revisado]],Tabela5[[#This Row],['[Valores_cenario']]],0)</f>
        <v>0</v>
      </c>
      <c r="P587" s="6">
        <f>IF(Tabela5[[#This Row],[Dim_Cenario'[Nome Cenario']]]=Tabela5[[#Headers],[Realizado]],Tabela5[[#This Row],['[Valores_cenario']]],0)</f>
        <v>0</v>
      </c>
    </row>
    <row r="588" hidden="1" spans="1:16">
      <c r="A588" t="s">
        <v>17</v>
      </c>
      <c r="B588" t="s">
        <v>18</v>
      </c>
      <c r="C588" t="s">
        <v>37</v>
      </c>
      <c r="D588" t="s">
        <v>20</v>
      </c>
      <c r="E588">
        <v>2023</v>
      </c>
      <c r="F588" t="s">
        <v>30</v>
      </c>
      <c r="G588" t="s">
        <v>40</v>
      </c>
      <c r="H588">
        <v>7</v>
      </c>
      <c r="I588">
        <v>28479.557</v>
      </c>
      <c r="J588" t="s">
        <v>23</v>
      </c>
      <c r="K588" s="3"/>
      <c r="N588" s="6">
        <f>IF(Tabela5[[#This Row],[Dim_Cenario'[Nome Cenario']]]=Tabela5[[#Headers],[INIC Atual]],Tabela5[[#This Row],['[Valores_cenario']]],0)</f>
        <v>28479.557</v>
      </c>
      <c r="O588" s="6">
        <f>IF(Tabela5[[#This Row],[Dim_Cenario'[Nome Cenario']]]=Tabela5[[#Headers],[Revisado]],Tabela5[[#This Row],['[Valores_cenario']]],0)</f>
        <v>0</v>
      </c>
      <c r="P588" s="6">
        <f>IF(Tabela5[[#This Row],[Dim_Cenario'[Nome Cenario']]]=Tabela5[[#Headers],[Realizado]],Tabela5[[#This Row],['[Valores_cenario']]],0)</f>
        <v>0</v>
      </c>
    </row>
    <row r="589" hidden="1" spans="1:16">
      <c r="A589" t="s">
        <v>17</v>
      </c>
      <c r="B589" t="s">
        <v>18</v>
      </c>
      <c r="C589" t="s">
        <v>37</v>
      </c>
      <c r="D589" t="s">
        <v>20</v>
      </c>
      <c r="E589">
        <v>2023</v>
      </c>
      <c r="F589" t="s">
        <v>30</v>
      </c>
      <c r="G589" t="s">
        <v>31</v>
      </c>
      <c r="H589">
        <v>8</v>
      </c>
      <c r="I589">
        <v>28479.557</v>
      </c>
      <c r="J589" t="s">
        <v>23</v>
      </c>
      <c r="K589" s="3"/>
      <c r="N589" s="6">
        <f>IF(Tabela5[[#This Row],[Dim_Cenario'[Nome Cenario']]]=Tabela5[[#Headers],[INIC Atual]],Tabela5[[#This Row],['[Valores_cenario']]],0)</f>
        <v>28479.557</v>
      </c>
      <c r="O589" s="6">
        <f>IF(Tabela5[[#This Row],[Dim_Cenario'[Nome Cenario']]]=Tabela5[[#Headers],[Revisado]],Tabela5[[#This Row],['[Valores_cenario']]],0)</f>
        <v>0</v>
      </c>
      <c r="P589" s="6">
        <f>IF(Tabela5[[#This Row],[Dim_Cenario'[Nome Cenario']]]=Tabela5[[#Headers],[Realizado]],Tabela5[[#This Row],['[Valores_cenario']]],0)</f>
        <v>0</v>
      </c>
    </row>
    <row r="590" hidden="1" spans="1:16">
      <c r="A590" t="s">
        <v>17</v>
      </c>
      <c r="B590" t="s">
        <v>18</v>
      </c>
      <c r="C590" t="s">
        <v>37</v>
      </c>
      <c r="D590" t="s">
        <v>20</v>
      </c>
      <c r="E590">
        <v>2023</v>
      </c>
      <c r="F590" t="s">
        <v>30</v>
      </c>
      <c r="G590" t="s">
        <v>41</v>
      </c>
      <c r="H590">
        <v>9</v>
      </c>
      <c r="I590">
        <v>28479.557</v>
      </c>
      <c r="J590" t="s">
        <v>23</v>
      </c>
      <c r="K590" s="3"/>
      <c r="N590" s="6">
        <f>IF(Tabela5[[#This Row],[Dim_Cenario'[Nome Cenario']]]=Tabela5[[#Headers],[INIC Atual]],Tabela5[[#This Row],['[Valores_cenario']]],0)</f>
        <v>28479.557</v>
      </c>
      <c r="O590" s="6">
        <f>IF(Tabela5[[#This Row],[Dim_Cenario'[Nome Cenario']]]=Tabela5[[#Headers],[Revisado]],Tabela5[[#This Row],['[Valores_cenario']]],0)</f>
        <v>0</v>
      </c>
      <c r="P590" s="6">
        <f>IF(Tabela5[[#This Row],[Dim_Cenario'[Nome Cenario']]]=Tabela5[[#Headers],[Realizado]],Tabela5[[#This Row],['[Valores_cenario']]],0)</f>
        <v>0</v>
      </c>
    </row>
    <row r="591" hidden="1" spans="1:16">
      <c r="A591" t="s">
        <v>97</v>
      </c>
      <c r="B591" t="s">
        <v>18</v>
      </c>
      <c r="C591" t="s">
        <v>98</v>
      </c>
      <c r="D591" t="s">
        <v>15</v>
      </c>
      <c r="E591">
        <v>2020</v>
      </c>
      <c r="F591" t="s">
        <v>25</v>
      </c>
      <c r="G591" t="s">
        <v>26</v>
      </c>
      <c r="H591">
        <v>2</v>
      </c>
      <c r="I591">
        <v>727.5</v>
      </c>
      <c r="J591" t="s">
        <v>36</v>
      </c>
      <c r="K591" s="3">
        <v>43890</v>
      </c>
      <c r="L591" t="s">
        <v>213</v>
      </c>
      <c r="M591" t="s">
        <v>329</v>
      </c>
      <c r="N591" s="6">
        <f>IF(Tabela5[[#This Row],[Dim_Cenario'[Nome Cenario']]]=Tabela5[[#Headers],[INIC Atual]],Tabela5[[#This Row],['[Valores_cenario']]],0)</f>
        <v>0</v>
      </c>
      <c r="O591" s="6">
        <f>IF(Tabela5[[#This Row],[Dim_Cenario'[Nome Cenario']]]=Tabela5[[#Headers],[Revisado]],Tabela5[[#This Row],['[Valores_cenario']]],0)</f>
        <v>0</v>
      </c>
      <c r="P591" s="6">
        <f>IF(Tabela5[[#This Row],[Dim_Cenario'[Nome Cenario']]]=Tabela5[[#Headers],[Realizado]],Tabela5[[#This Row],['[Valores_cenario']]],0)</f>
        <v>727.5</v>
      </c>
    </row>
    <row r="592" hidden="1" spans="1:16">
      <c r="A592" t="s">
        <v>97</v>
      </c>
      <c r="B592" t="s">
        <v>18</v>
      </c>
      <c r="C592" t="s">
        <v>98</v>
      </c>
      <c r="D592" t="s">
        <v>15</v>
      </c>
      <c r="E592">
        <v>2020</v>
      </c>
      <c r="F592" t="s">
        <v>25</v>
      </c>
      <c r="G592" t="s">
        <v>26</v>
      </c>
      <c r="H592">
        <v>2</v>
      </c>
      <c r="I592">
        <v>6547.5</v>
      </c>
      <c r="J592" t="s">
        <v>36</v>
      </c>
      <c r="K592" s="3">
        <v>43890</v>
      </c>
      <c r="L592" t="s">
        <v>213</v>
      </c>
      <c r="M592" t="s">
        <v>330</v>
      </c>
      <c r="N592" s="6">
        <f>IF(Tabela5[[#This Row],[Dim_Cenario'[Nome Cenario']]]=Tabela5[[#Headers],[INIC Atual]],Tabela5[[#This Row],['[Valores_cenario']]],0)</f>
        <v>0</v>
      </c>
      <c r="O592" s="6">
        <f>IF(Tabela5[[#This Row],[Dim_Cenario'[Nome Cenario']]]=Tabela5[[#Headers],[Revisado]],Tabela5[[#This Row],['[Valores_cenario']]],0)</f>
        <v>0</v>
      </c>
      <c r="P592" s="6">
        <f>IF(Tabela5[[#This Row],[Dim_Cenario'[Nome Cenario']]]=Tabela5[[#Headers],[Realizado]],Tabela5[[#This Row],['[Valores_cenario']]],0)</f>
        <v>6547.5</v>
      </c>
    </row>
    <row r="593" hidden="1" spans="1:16">
      <c r="A593" t="s">
        <v>97</v>
      </c>
      <c r="B593" t="s">
        <v>18</v>
      </c>
      <c r="C593" t="s">
        <v>98</v>
      </c>
      <c r="D593" t="s">
        <v>15</v>
      </c>
      <c r="E593">
        <v>2020</v>
      </c>
      <c r="F593" t="s">
        <v>25</v>
      </c>
      <c r="G593" t="s">
        <v>26</v>
      </c>
      <c r="H593">
        <v>2</v>
      </c>
      <c r="I593">
        <v>1455</v>
      </c>
      <c r="J593" t="s">
        <v>36</v>
      </c>
      <c r="K593" s="3">
        <v>43890</v>
      </c>
      <c r="L593" t="s">
        <v>213</v>
      </c>
      <c r="M593" t="s">
        <v>331</v>
      </c>
      <c r="N593" s="6">
        <f>IF(Tabela5[[#This Row],[Dim_Cenario'[Nome Cenario']]]=Tabela5[[#Headers],[INIC Atual]],Tabela5[[#This Row],['[Valores_cenario']]],0)</f>
        <v>0</v>
      </c>
      <c r="O593" s="6">
        <f>IF(Tabela5[[#This Row],[Dim_Cenario'[Nome Cenario']]]=Tabela5[[#Headers],[Revisado]],Tabela5[[#This Row],['[Valores_cenario']]],0)</f>
        <v>0</v>
      </c>
      <c r="P593" s="6">
        <f>IF(Tabela5[[#This Row],[Dim_Cenario'[Nome Cenario']]]=Tabela5[[#Headers],[Realizado]],Tabela5[[#This Row],['[Valores_cenario']]],0)</f>
        <v>1455</v>
      </c>
    </row>
    <row r="594" hidden="1" spans="1:16">
      <c r="A594" t="s">
        <v>17</v>
      </c>
      <c r="B594" t="s">
        <v>18</v>
      </c>
      <c r="C594" t="s">
        <v>37</v>
      </c>
      <c r="D594" t="s">
        <v>20</v>
      </c>
      <c r="E594">
        <v>2023</v>
      </c>
      <c r="F594" t="s">
        <v>21</v>
      </c>
      <c r="G594" t="s">
        <v>22</v>
      </c>
      <c r="H594">
        <v>10</v>
      </c>
      <c r="I594">
        <v>28479.557</v>
      </c>
      <c r="J594" t="s">
        <v>23</v>
      </c>
      <c r="K594" s="3"/>
      <c r="N594" s="6">
        <f>IF(Tabela5[[#This Row],[Dim_Cenario'[Nome Cenario']]]=Tabela5[[#Headers],[INIC Atual]],Tabela5[[#This Row],['[Valores_cenario']]],0)</f>
        <v>28479.557</v>
      </c>
      <c r="O594" s="6">
        <f>IF(Tabela5[[#This Row],[Dim_Cenario'[Nome Cenario']]]=Tabela5[[#Headers],[Revisado]],Tabela5[[#This Row],['[Valores_cenario']]],0)</f>
        <v>0</v>
      </c>
      <c r="P594" s="6">
        <f>IF(Tabela5[[#This Row],[Dim_Cenario'[Nome Cenario']]]=Tabela5[[#Headers],[Realizado]],Tabela5[[#This Row],['[Valores_cenario']]],0)</f>
        <v>0</v>
      </c>
    </row>
    <row r="595" hidden="1" spans="1:16">
      <c r="A595" t="s">
        <v>17</v>
      </c>
      <c r="B595" t="s">
        <v>18</v>
      </c>
      <c r="C595" t="s">
        <v>37</v>
      </c>
      <c r="D595" t="s">
        <v>20</v>
      </c>
      <c r="E595">
        <v>2023</v>
      </c>
      <c r="F595" t="s">
        <v>21</v>
      </c>
      <c r="G595" t="s">
        <v>24</v>
      </c>
      <c r="H595">
        <v>11</v>
      </c>
      <c r="I595">
        <v>28479.557</v>
      </c>
      <c r="J595" t="s">
        <v>23</v>
      </c>
      <c r="K595" s="3"/>
      <c r="N595" s="6">
        <f>IF(Tabela5[[#This Row],[Dim_Cenario'[Nome Cenario']]]=Tabela5[[#Headers],[INIC Atual]],Tabela5[[#This Row],['[Valores_cenario']]],0)</f>
        <v>28479.557</v>
      </c>
      <c r="O595" s="6">
        <f>IF(Tabela5[[#This Row],[Dim_Cenario'[Nome Cenario']]]=Tabela5[[#Headers],[Revisado]],Tabela5[[#This Row],['[Valores_cenario']]],0)</f>
        <v>0</v>
      </c>
      <c r="P595" s="6">
        <f>IF(Tabela5[[#This Row],[Dim_Cenario'[Nome Cenario']]]=Tabela5[[#Headers],[Realizado]],Tabela5[[#This Row],['[Valores_cenario']]],0)</f>
        <v>0</v>
      </c>
    </row>
    <row r="596" hidden="1" spans="1:16">
      <c r="A596" t="s">
        <v>17</v>
      </c>
      <c r="B596" t="s">
        <v>18</v>
      </c>
      <c r="C596" t="s">
        <v>96</v>
      </c>
      <c r="D596" t="s">
        <v>15</v>
      </c>
      <c r="E596">
        <v>2020</v>
      </c>
      <c r="F596" t="s">
        <v>25</v>
      </c>
      <c r="G596" t="s">
        <v>38</v>
      </c>
      <c r="H596">
        <v>3</v>
      </c>
      <c r="I596">
        <v>26667</v>
      </c>
      <c r="J596" t="s">
        <v>36</v>
      </c>
      <c r="K596" s="3">
        <v>43910</v>
      </c>
      <c r="L596" t="s">
        <v>306</v>
      </c>
      <c r="M596" t="s">
        <v>332</v>
      </c>
      <c r="N596" s="6">
        <f>IF(Tabela5[[#This Row],[Dim_Cenario'[Nome Cenario']]]=Tabela5[[#Headers],[INIC Atual]],Tabela5[[#This Row],['[Valores_cenario']]],0)</f>
        <v>0</v>
      </c>
      <c r="O596" s="6">
        <f>IF(Tabela5[[#This Row],[Dim_Cenario'[Nome Cenario']]]=Tabela5[[#Headers],[Revisado]],Tabela5[[#This Row],['[Valores_cenario']]],0)</f>
        <v>0</v>
      </c>
      <c r="P596" s="6">
        <f>IF(Tabela5[[#This Row],[Dim_Cenario'[Nome Cenario']]]=Tabela5[[#Headers],[Realizado]],Tabela5[[#This Row],['[Valores_cenario']]],0)</f>
        <v>26667</v>
      </c>
    </row>
    <row r="597" hidden="1" spans="1:16">
      <c r="A597" t="s">
        <v>17</v>
      </c>
      <c r="B597" t="s">
        <v>18</v>
      </c>
      <c r="C597" t="s">
        <v>96</v>
      </c>
      <c r="D597" t="s">
        <v>15</v>
      </c>
      <c r="E597">
        <v>2020</v>
      </c>
      <c r="F597" t="s">
        <v>25</v>
      </c>
      <c r="G597" t="s">
        <v>38</v>
      </c>
      <c r="H597">
        <v>3</v>
      </c>
      <c r="I597">
        <v>30000</v>
      </c>
      <c r="J597" t="s">
        <v>36</v>
      </c>
      <c r="K597" s="3">
        <v>43910</v>
      </c>
      <c r="L597" t="s">
        <v>306</v>
      </c>
      <c r="M597" t="s">
        <v>333</v>
      </c>
      <c r="N597" s="6">
        <f>IF(Tabela5[[#This Row],[Dim_Cenario'[Nome Cenario']]]=Tabela5[[#Headers],[INIC Atual]],Tabela5[[#This Row],['[Valores_cenario']]],0)</f>
        <v>0</v>
      </c>
      <c r="O597" s="6">
        <f>IF(Tabela5[[#This Row],[Dim_Cenario'[Nome Cenario']]]=Tabela5[[#Headers],[Revisado]],Tabela5[[#This Row],['[Valores_cenario']]],0)</f>
        <v>0</v>
      </c>
      <c r="P597" s="6">
        <f>IF(Tabela5[[#This Row],[Dim_Cenario'[Nome Cenario']]]=Tabela5[[#Headers],[Realizado]],Tabela5[[#This Row],['[Valores_cenario']]],0)</f>
        <v>30000</v>
      </c>
    </row>
    <row r="598" hidden="1" spans="1:16">
      <c r="A598" t="s">
        <v>97</v>
      </c>
      <c r="B598" t="s">
        <v>18</v>
      </c>
      <c r="C598" t="s">
        <v>98</v>
      </c>
      <c r="D598" t="s">
        <v>15</v>
      </c>
      <c r="E598">
        <v>2020</v>
      </c>
      <c r="F598" t="s">
        <v>25</v>
      </c>
      <c r="G598" t="s">
        <v>38</v>
      </c>
      <c r="H598">
        <v>3</v>
      </c>
      <c r="I598">
        <v>5092.5</v>
      </c>
      <c r="J598" t="s">
        <v>36</v>
      </c>
      <c r="K598" s="3">
        <v>43921</v>
      </c>
      <c r="L598" t="s">
        <v>213</v>
      </c>
      <c r="M598" t="s">
        <v>334</v>
      </c>
      <c r="N598" s="6">
        <f>IF(Tabela5[[#This Row],[Dim_Cenario'[Nome Cenario']]]=Tabela5[[#Headers],[INIC Atual]],Tabela5[[#This Row],['[Valores_cenario']]],0)</f>
        <v>0</v>
      </c>
      <c r="O598" s="6">
        <f>IF(Tabela5[[#This Row],[Dim_Cenario'[Nome Cenario']]]=Tabela5[[#Headers],[Revisado]],Tabela5[[#This Row],['[Valores_cenario']]],0)</f>
        <v>0</v>
      </c>
      <c r="P598" s="6">
        <f>IF(Tabela5[[#This Row],[Dim_Cenario'[Nome Cenario']]]=Tabela5[[#Headers],[Realizado]],Tabela5[[#This Row],['[Valores_cenario']]],0)</f>
        <v>5092.5</v>
      </c>
    </row>
    <row r="599" hidden="1" spans="1:16">
      <c r="A599" t="s">
        <v>17</v>
      </c>
      <c r="B599" t="s">
        <v>18</v>
      </c>
      <c r="C599" t="s">
        <v>37</v>
      </c>
      <c r="D599" t="s">
        <v>20</v>
      </c>
      <c r="E599">
        <v>2023</v>
      </c>
      <c r="F599" t="s">
        <v>21</v>
      </c>
      <c r="G599" t="s">
        <v>32</v>
      </c>
      <c r="H599">
        <v>12</v>
      </c>
      <c r="I599">
        <v>28479.557</v>
      </c>
      <c r="J599" t="s">
        <v>23</v>
      </c>
      <c r="K599" s="3"/>
      <c r="N599" s="6">
        <f>IF(Tabela5[[#This Row],[Dim_Cenario'[Nome Cenario']]]=Tabela5[[#Headers],[INIC Atual]],Tabela5[[#This Row],['[Valores_cenario']]],0)</f>
        <v>28479.557</v>
      </c>
      <c r="O599" s="6">
        <f>IF(Tabela5[[#This Row],[Dim_Cenario'[Nome Cenario']]]=Tabela5[[#Headers],[Revisado]],Tabela5[[#This Row],['[Valores_cenario']]],0)</f>
        <v>0</v>
      </c>
      <c r="P599" s="6">
        <f>IF(Tabela5[[#This Row],[Dim_Cenario'[Nome Cenario']]]=Tabela5[[#Headers],[Realizado]],Tabela5[[#This Row],['[Valores_cenario']]],0)</f>
        <v>0</v>
      </c>
    </row>
    <row r="600" hidden="1" spans="1:16">
      <c r="A600" t="s">
        <v>17</v>
      </c>
      <c r="B600" t="s">
        <v>18</v>
      </c>
      <c r="C600" t="s">
        <v>37</v>
      </c>
      <c r="D600" t="s">
        <v>14</v>
      </c>
      <c r="E600">
        <v>2023</v>
      </c>
      <c r="F600" t="s">
        <v>25</v>
      </c>
      <c r="G600" t="s">
        <v>35</v>
      </c>
      <c r="H600">
        <v>1</v>
      </c>
      <c r="I600">
        <v>0.28</v>
      </c>
      <c r="J600" t="s">
        <v>23</v>
      </c>
      <c r="K600" s="3"/>
      <c r="N600" s="6">
        <f>IF(Tabela5[[#This Row],[Dim_Cenario'[Nome Cenario']]]=Tabela5[[#Headers],[INIC Atual]],Tabela5[[#This Row],['[Valores_cenario']]],0)</f>
        <v>0</v>
      </c>
      <c r="O600" s="6">
        <f>IF(Tabela5[[#This Row],[Dim_Cenario'[Nome Cenario']]]=Tabela5[[#Headers],[Revisado]],Tabela5[[#This Row],['[Valores_cenario']]],0)</f>
        <v>0.28</v>
      </c>
      <c r="P600" s="6">
        <f>IF(Tabela5[[#This Row],[Dim_Cenario'[Nome Cenario']]]=Tabela5[[#Headers],[Realizado]],Tabela5[[#This Row],['[Valores_cenario']]],0)</f>
        <v>0</v>
      </c>
    </row>
    <row r="601" hidden="1" spans="1:16">
      <c r="A601" t="s">
        <v>17</v>
      </c>
      <c r="B601" t="s">
        <v>18</v>
      </c>
      <c r="C601" t="s">
        <v>37</v>
      </c>
      <c r="D601" t="s">
        <v>14</v>
      </c>
      <c r="E601">
        <v>2023</v>
      </c>
      <c r="F601" t="s">
        <v>25</v>
      </c>
      <c r="G601" t="s">
        <v>26</v>
      </c>
      <c r="H601">
        <v>2</v>
      </c>
      <c r="I601">
        <v>3862.28</v>
      </c>
      <c r="J601" t="s">
        <v>23</v>
      </c>
      <c r="K601" s="3"/>
      <c r="N601" s="6">
        <f>IF(Tabela5[[#This Row],[Dim_Cenario'[Nome Cenario']]]=Tabela5[[#Headers],[INIC Atual]],Tabela5[[#This Row],['[Valores_cenario']]],0)</f>
        <v>0</v>
      </c>
      <c r="O601" s="6">
        <f>IF(Tabela5[[#This Row],[Dim_Cenario'[Nome Cenario']]]=Tabela5[[#Headers],[Revisado]],Tabela5[[#This Row],['[Valores_cenario']]],0)</f>
        <v>3862.28</v>
      </c>
      <c r="P601" s="6">
        <f>IF(Tabela5[[#This Row],[Dim_Cenario'[Nome Cenario']]]=Tabela5[[#Headers],[Realizado]],Tabela5[[#This Row],['[Valores_cenario']]],0)</f>
        <v>0</v>
      </c>
    </row>
    <row r="602" hidden="1" spans="1:16">
      <c r="A602" t="s">
        <v>97</v>
      </c>
      <c r="B602" t="s">
        <v>18</v>
      </c>
      <c r="C602" t="s">
        <v>98</v>
      </c>
      <c r="D602" t="s">
        <v>15</v>
      </c>
      <c r="E602">
        <v>2020</v>
      </c>
      <c r="F602" t="s">
        <v>27</v>
      </c>
      <c r="G602" t="s">
        <v>28</v>
      </c>
      <c r="H602">
        <v>4</v>
      </c>
      <c r="I602">
        <v>727.5</v>
      </c>
      <c r="J602" t="s">
        <v>36</v>
      </c>
      <c r="K602" s="3">
        <v>43950</v>
      </c>
      <c r="L602" t="s">
        <v>213</v>
      </c>
      <c r="M602" t="s">
        <v>335</v>
      </c>
      <c r="N602" s="6">
        <f>IF(Tabela5[[#This Row],[Dim_Cenario'[Nome Cenario']]]=Tabela5[[#Headers],[INIC Atual]],Tabela5[[#This Row],['[Valores_cenario']]],0)</f>
        <v>0</v>
      </c>
      <c r="O602" s="6">
        <f>IF(Tabela5[[#This Row],[Dim_Cenario'[Nome Cenario']]]=Tabela5[[#Headers],[Revisado]],Tabela5[[#This Row],['[Valores_cenario']]],0)</f>
        <v>0</v>
      </c>
      <c r="P602" s="6">
        <f>IF(Tabela5[[#This Row],[Dim_Cenario'[Nome Cenario']]]=Tabela5[[#Headers],[Realizado]],Tabela5[[#This Row],['[Valores_cenario']]],0)</f>
        <v>727.5</v>
      </c>
    </row>
    <row r="603" hidden="1" spans="1:16">
      <c r="A603" t="s">
        <v>97</v>
      </c>
      <c r="B603" t="s">
        <v>18</v>
      </c>
      <c r="C603" t="s">
        <v>98</v>
      </c>
      <c r="D603" t="s">
        <v>15</v>
      </c>
      <c r="E603">
        <v>2020</v>
      </c>
      <c r="F603" t="s">
        <v>27</v>
      </c>
      <c r="G603" t="s">
        <v>28</v>
      </c>
      <c r="H603">
        <v>4</v>
      </c>
      <c r="I603">
        <v>727.5</v>
      </c>
      <c r="J603" t="s">
        <v>36</v>
      </c>
      <c r="K603" s="3">
        <v>43950</v>
      </c>
      <c r="L603" t="s">
        <v>213</v>
      </c>
      <c r="M603" t="s">
        <v>336</v>
      </c>
      <c r="N603" s="6">
        <f>IF(Tabela5[[#This Row],[Dim_Cenario'[Nome Cenario']]]=Tabela5[[#Headers],[INIC Atual]],Tabela5[[#This Row],['[Valores_cenario']]],0)</f>
        <v>0</v>
      </c>
      <c r="O603" s="6">
        <f>IF(Tabela5[[#This Row],[Dim_Cenario'[Nome Cenario']]]=Tabela5[[#Headers],[Revisado]],Tabela5[[#This Row],['[Valores_cenario']]],0)</f>
        <v>0</v>
      </c>
      <c r="P603" s="6">
        <f>IF(Tabela5[[#This Row],[Dim_Cenario'[Nome Cenario']]]=Tabela5[[#Headers],[Realizado]],Tabela5[[#This Row],['[Valores_cenario']]],0)</f>
        <v>727.5</v>
      </c>
    </row>
    <row r="604" hidden="1" spans="1:16">
      <c r="A604" t="s">
        <v>180</v>
      </c>
      <c r="B604" t="s">
        <v>18</v>
      </c>
      <c r="C604" t="s">
        <v>181</v>
      </c>
      <c r="D604" t="s">
        <v>15</v>
      </c>
      <c r="E604">
        <v>2020</v>
      </c>
      <c r="F604" t="s">
        <v>27</v>
      </c>
      <c r="G604" t="s">
        <v>28</v>
      </c>
      <c r="H604">
        <v>4</v>
      </c>
      <c r="I604">
        <v>18000</v>
      </c>
      <c r="J604" t="s">
        <v>36</v>
      </c>
      <c r="K604" s="3">
        <v>43951</v>
      </c>
      <c r="L604" t="s">
        <v>337</v>
      </c>
      <c r="M604" t="s">
        <v>338</v>
      </c>
      <c r="N604" s="6">
        <f>IF(Tabela5[[#This Row],[Dim_Cenario'[Nome Cenario']]]=Tabela5[[#Headers],[INIC Atual]],Tabela5[[#This Row],['[Valores_cenario']]],0)</f>
        <v>0</v>
      </c>
      <c r="O604" s="6">
        <f>IF(Tabela5[[#This Row],[Dim_Cenario'[Nome Cenario']]]=Tabela5[[#Headers],[Revisado]],Tabela5[[#This Row],['[Valores_cenario']]],0)</f>
        <v>0</v>
      </c>
      <c r="P604" s="6">
        <f>IF(Tabela5[[#This Row],[Dim_Cenario'[Nome Cenario']]]=Tabela5[[#Headers],[Realizado]],Tabela5[[#This Row],['[Valores_cenario']]],0)</f>
        <v>18000</v>
      </c>
    </row>
    <row r="605" hidden="1" spans="1:16">
      <c r="A605" t="s">
        <v>17</v>
      </c>
      <c r="B605" t="s">
        <v>18</v>
      </c>
      <c r="C605" t="s">
        <v>37</v>
      </c>
      <c r="D605" t="s">
        <v>14</v>
      </c>
      <c r="E605">
        <v>2023</v>
      </c>
      <c r="F605" t="s">
        <v>25</v>
      </c>
      <c r="G605" t="s">
        <v>38</v>
      </c>
      <c r="H605">
        <v>3</v>
      </c>
      <c r="I605">
        <v>10600.28</v>
      </c>
      <c r="J605" t="s">
        <v>23</v>
      </c>
      <c r="K605" s="3"/>
      <c r="N605" s="6">
        <f>IF(Tabela5[[#This Row],[Dim_Cenario'[Nome Cenario']]]=Tabela5[[#Headers],[INIC Atual]],Tabela5[[#This Row],['[Valores_cenario']]],0)</f>
        <v>0</v>
      </c>
      <c r="O605" s="6">
        <f>IF(Tabela5[[#This Row],[Dim_Cenario'[Nome Cenario']]]=Tabela5[[#Headers],[Revisado]],Tabela5[[#This Row],['[Valores_cenario']]],0)</f>
        <v>10600.28</v>
      </c>
      <c r="P605" s="6">
        <f>IF(Tabela5[[#This Row],[Dim_Cenario'[Nome Cenario']]]=Tabela5[[#Headers],[Realizado]],Tabela5[[#This Row],['[Valores_cenario']]],0)</f>
        <v>0</v>
      </c>
    </row>
    <row r="606" hidden="1" spans="1:16">
      <c r="A606" t="s">
        <v>17</v>
      </c>
      <c r="B606" t="s">
        <v>18</v>
      </c>
      <c r="C606" t="s">
        <v>96</v>
      </c>
      <c r="D606" t="s">
        <v>15</v>
      </c>
      <c r="E606">
        <v>2020</v>
      </c>
      <c r="F606" t="s">
        <v>27</v>
      </c>
      <c r="G606" t="s">
        <v>39</v>
      </c>
      <c r="H606">
        <v>5</v>
      </c>
      <c r="I606">
        <v>26667</v>
      </c>
      <c r="J606" t="s">
        <v>36</v>
      </c>
      <c r="K606" s="3">
        <v>43978</v>
      </c>
      <c r="L606" t="s">
        <v>306</v>
      </c>
      <c r="M606" t="s">
        <v>339</v>
      </c>
      <c r="N606" s="6">
        <f>IF(Tabela5[[#This Row],[Dim_Cenario'[Nome Cenario']]]=Tabela5[[#Headers],[INIC Atual]],Tabela5[[#This Row],['[Valores_cenario']]],0)</f>
        <v>0</v>
      </c>
      <c r="O606" s="6">
        <f>IF(Tabela5[[#This Row],[Dim_Cenario'[Nome Cenario']]]=Tabela5[[#Headers],[Revisado]],Tabela5[[#This Row],['[Valores_cenario']]],0)</f>
        <v>0</v>
      </c>
      <c r="P606" s="6">
        <f>IF(Tabela5[[#This Row],[Dim_Cenario'[Nome Cenario']]]=Tabela5[[#Headers],[Realizado]],Tabela5[[#This Row],['[Valores_cenario']]],0)</f>
        <v>26667</v>
      </c>
    </row>
    <row r="607" hidden="1" spans="1:16">
      <c r="A607" t="s">
        <v>17</v>
      </c>
      <c r="B607" t="s">
        <v>18</v>
      </c>
      <c r="C607" t="s">
        <v>96</v>
      </c>
      <c r="D607" t="s">
        <v>15</v>
      </c>
      <c r="E607">
        <v>2020</v>
      </c>
      <c r="F607" t="s">
        <v>27</v>
      </c>
      <c r="G607" t="s">
        <v>39</v>
      </c>
      <c r="H607">
        <v>5</v>
      </c>
      <c r="I607">
        <v>26665</v>
      </c>
      <c r="J607" t="s">
        <v>36</v>
      </c>
      <c r="K607" s="3">
        <v>43978</v>
      </c>
      <c r="L607" t="s">
        <v>306</v>
      </c>
      <c r="M607" t="s">
        <v>340</v>
      </c>
      <c r="N607" s="6">
        <f>IF(Tabela5[[#This Row],[Dim_Cenario'[Nome Cenario']]]=Tabela5[[#Headers],[INIC Atual]],Tabela5[[#This Row],['[Valores_cenario']]],0)</f>
        <v>0</v>
      </c>
      <c r="O607" s="6">
        <f>IF(Tabela5[[#This Row],[Dim_Cenario'[Nome Cenario']]]=Tabela5[[#Headers],[Revisado]],Tabela5[[#This Row],['[Valores_cenario']]],0)</f>
        <v>0</v>
      </c>
      <c r="P607" s="6">
        <f>IF(Tabela5[[#This Row],[Dim_Cenario'[Nome Cenario']]]=Tabela5[[#Headers],[Realizado]],Tabela5[[#This Row],['[Valores_cenario']]],0)</f>
        <v>26665</v>
      </c>
    </row>
    <row r="608" hidden="1" spans="1:16">
      <c r="A608" t="s">
        <v>97</v>
      </c>
      <c r="B608" t="s">
        <v>18</v>
      </c>
      <c r="C608" t="s">
        <v>98</v>
      </c>
      <c r="D608" t="s">
        <v>15</v>
      </c>
      <c r="E608">
        <v>2020</v>
      </c>
      <c r="F608" t="s">
        <v>27</v>
      </c>
      <c r="G608" t="s">
        <v>39</v>
      </c>
      <c r="H608">
        <v>5</v>
      </c>
      <c r="I608">
        <v>9457.5</v>
      </c>
      <c r="J608" t="s">
        <v>36</v>
      </c>
      <c r="K608" s="3">
        <v>43979</v>
      </c>
      <c r="L608" t="s">
        <v>213</v>
      </c>
      <c r="M608" t="s">
        <v>341</v>
      </c>
      <c r="N608" s="6">
        <f>IF(Tabela5[[#This Row],[Dim_Cenario'[Nome Cenario']]]=Tabela5[[#Headers],[INIC Atual]],Tabela5[[#This Row],['[Valores_cenario']]],0)</f>
        <v>0</v>
      </c>
      <c r="O608" s="6">
        <f>IF(Tabela5[[#This Row],[Dim_Cenario'[Nome Cenario']]]=Tabela5[[#Headers],[Revisado]],Tabela5[[#This Row],['[Valores_cenario']]],0)</f>
        <v>0</v>
      </c>
      <c r="P608" s="6">
        <f>IF(Tabela5[[#This Row],[Dim_Cenario'[Nome Cenario']]]=Tabela5[[#Headers],[Realizado]],Tabela5[[#This Row],['[Valores_cenario']]],0)</f>
        <v>9457.5</v>
      </c>
    </row>
    <row r="609" hidden="1" spans="1:16">
      <c r="A609" t="s">
        <v>17</v>
      </c>
      <c r="B609" t="s">
        <v>18</v>
      </c>
      <c r="C609" t="s">
        <v>37</v>
      </c>
      <c r="D609" t="s">
        <v>14</v>
      </c>
      <c r="E609">
        <v>2023</v>
      </c>
      <c r="F609" t="s">
        <v>27</v>
      </c>
      <c r="G609" t="s">
        <v>28</v>
      </c>
      <c r="H609">
        <v>4</v>
      </c>
      <c r="I609">
        <v>2702.28</v>
      </c>
      <c r="J609" t="s">
        <v>23</v>
      </c>
      <c r="K609" s="3"/>
      <c r="N609" s="6">
        <f>IF(Tabela5[[#This Row],[Dim_Cenario'[Nome Cenario']]]=Tabela5[[#Headers],[INIC Atual]],Tabela5[[#This Row],['[Valores_cenario']]],0)</f>
        <v>0</v>
      </c>
      <c r="O609" s="6">
        <f>IF(Tabela5[[#This Row],[Dim_Cenario'[Nome Cenario']]]=Tabela5[[#Headers],[Revisado]],Tabela5[[#This Row],['[Valores_cenario']]],0)</f>
        <v>2702.28</v>
      </c>
      <c r="P609" s="6">
        <f>IF(Tabela5[[#This Row],[Dim_Cenario'[Nome Cenario']]]=Tabela5[[#Headers],[Realizado]],Tabela5[[#This Row],['[Valores_cenario']]],0)</f>
        <v>0</v>
      </c>
    </row>
    <row r="610" hidden="1" spans="1:16">
      <c r="A610" t="s">
        <v>97</v>
      </c>
      <c r="B610" t="s">
        <v>18</v>
      </c>
      <c r="C610" t="s">
        <v>98</v>
      </c>
      <c r="D610" t="s">
        <v>15</v>
      </c>
      <c r="E610">
        <v>2020</v>
      </c>
      <c r="F610" t="s">
        <v>27</v>
      </c>
      <c r="G610" t="s">
        <v>29</v>
      </c>
      <c r="H610">
        <v>6</v>
      </c>
      <c r="I610">
        <v>727.5</v>
      </c>
      <c r="J610" t="s">
        <v>36</v>
      </c>
      <c r="K610" s="3">
        <v>44012</v>
      </c>
      <c r="L610" t="s">
        <v>213</v>
      </c>
      <c r="M610" t="s">
        <v>342</v>
      </c>
      <c r="N610" s="6">
        <f>IF(Tabela5[[#This Row],[Dim_Cenario'[Nome Cenario']]]=Tabela5[[#Headers],[INIC Atual]],Tabela5[[#This Row],['[Valores_cenario']]],0)</f>
        <v>0</v>
      </c>
      <c r="O610" s="6">
        <f>IF(Tabela5[[#This Row],[Dim_Cenario'[Nome Cenario']]]=Tabela5[[#Headers],[Revisado]],Tabela5[[#This Row],['[Valores_cenario']]],0)</f>
        <v>0</v>
      </c>
      <c r="P610" s="6">
        <f>IF(Tabela5[[#This Row],[Dim_Cenario'[Nome Cenario']]]=Tabela5[[#Headers],[Realizado]],Tabela5[[#This Row],['[Valores_cenario']]],0)</f>
        <v>727.5</v>
      </c>
    </row>
    <row r="611" hidden="1" spans="1:16">
      <c r="A611" t="s">
        <v>17</v>
      </c>
      <c r="B611" t="s">
        <v>18</v>
      </c>
      <c r="C611" t="s">
        <v>37</v>
      </c>
      <c r="D611" t="s">
        <v>14</v>
      </c>
      <c r="E611">
        <v>2023</v>
      </c>
      <c r="F611" t="s">
        <v>27</v>
      </c>
      <c r="G611" t="s">
        <v>39</v>
      </c>
      <c r="H611">
        <v>5</v>
      </c>
      <c r="I611">
        <v>6101.28</v>
      </c>
      <c r="J611" t="s">
        <v>23</v>
      </c>
      <c r="K611" s="3"/>
      <c r="N611" s="6">
        <f>IF(Tabela5[[#This Row],[Dim_Cenario'[Nome Cenario']]]=Tabela5[[#Headers],[INIC Atual]],Tabela5[[#This Row],['[Valores_cenario']]],0)</f>
        <v>0</v>
      </c>
      <c r="O611" s="6">
        <f>IF(Tabela5[[#This Row],[Dim_Cenario'[Nome Cenario']]]=Tabela5[[#Headers],[Revisado]],Tabela5[[#This Row],['[Valores_cenario']]],0)</f>
        <v>6101.28</v>
      </c>
      <c r="P611" s="6">
        <f>IF(Tabela5[[#This Row],[Dim_Cenario'[Nome Cenario']]]=Tabela5[[#Headers],[Realizado]],Tabela5[[#This Row],['[Valores_cenario']]],0)</f>
        <v>0</v>
      </c>
    </row>
    <row r="612" hidden="1" spans="1:16">
      <c r="A612" t="s">
        <v>17</v>
      </c>
      <c r="B612" t="s">
        <v>18</v>
      </c>
      <c r="C612" t="s">
        <v>37</v>
      </c>
      <c r="D612" t="s">
        <v>14</v>
      </c>
      <c r="E612">
        <v>2023</v>
      </c>
      <c r="F612" t="s">
        <v>27</v>
      </c>
      <c r="G612" t="s">
        <v>29</v>
      </c>
      <c r="H612">
        <v>6</v>
      </c>
      <c r="I612">
        <v>0.28</v>
      </c>
      <c r="J612" t="s">
        <v>23</v>
      </c>
      <c r="K612" s="3"/>
      <c r="N612" s="6">
        <f>IF(Tabela5[[#This Row],[Dim_Cenario'[Nome Cenario']]]=Tabela5[[#Headers],[INIC Atual]],Tabela5[[#This Row],['[Valores_cenario']]],0)</f>
        <v>0</v>
      </c>
      <c r="O612" s="6">
        <f>IF(Tabela5[[#This Row],[Dim_Cenario'[Nome Cenario']]]=Tabela5[[#Headers],[Revisado]],Tabela5[[#This Row],['[Valores_cenario']]],0)</f>
        <v>0.28</v>
      </c>
      <c r="P612" s="6">
        <f>IF(Tabela5[[#This Row],[Dim_Cenario'[Nome Cenario']]]=Tabela5[[#Headers],[Realizado]],Tabela5[[#This Row],['[Valores_cenario']]],0)</f>
        <v>0</v>
      </c>
    </row>
    <row r="613" hidden="1" spans="1:16">
      <c r="A613" t="s">
        <v>17</v>
      </c>
      <c r="B613" t="s">
        <v>18</v>
      </c>
      <c r="C613" t="s">
        <v>37</v>
      </c>
      <c r="D613" t="s">
        <v>14</v>
      </c>
      <c r="E613">
        <v>2023</v>
      </c>
      <c r="F613" t="s">
        <v>30</v>
      </c>
      <c r="G613" t="s">
        <v>40</v>
      </c>
      <c r="H613">
        <v>7</v>
      </c>
      <c r="I613">
        <v>24420.28</v>
      </c>
      <c r="J613" t="s">
        <v>23</v>
      </c>
      <c r="K613" s="3"/>
      <c r="N613" s="6">
        <f>IF(Tabela5[[#This Row],[Dim_Cenario'[Nome Cenario']]]=Tabela5[[#Headers],[INIC Atual]],Tabela5[[#This Row],['[Valores_cenario']]],0)</f>
        <v>0</v>
      </c>
      <c r="O613" s="6">
        <f>IF(Tabela5[[#This Row],[Dim_Cenario'[Nome Cenario']]]=Tabela5[[#Headers],[Revisado]],Tabela5[[#This Row],['[Valores_cenario']]],0)</f>
        <v>24420.28</v>
      </c>
      <c r="P613" s="6">
        <f>IF(Tabela5[[#This Row],[Dim_Cenario'[Nome Cenario']]]=Tabela5[[#Headers],[Realizado]],Tabela5[[#This Row],['[Valores_cenario']]],0)</f>
        <v>0</v>
      </c>
    </row>
    <row r="614" hidden="1" spans="1:16">
      <c r="A614" t="s">
        <v>97</v>
      </c>
      <c r="B614" t="s">
        <v>18</v>
      </c>
      <c r="C614" t="s">
        <v>98</v>
      </c>
      <c r="D614" t="s">
        <v>15</v>
      </c>
      <c r="E614">
        <v>2020</v>
      </c>
      <c r="F614" t="s">
        <v>30</v>
      </c>
      <c r="G614" t="s">
        <v>40</v>
      </c>
      <c r="H614">
        <v>7</v>
      </c>
      <c r="I614">
        <v>1455</v>
      </c>
      <c r="J614" t="s">
        <v>36</v>
      </c>
      <c r="K614" s="3">
        <v>44043</v>
      </c>
      <c r="L614" t="s">
        <v>213</v>
      </c>
      <c r="M614" t="s">
        <v>343</v>
      </c>
      <c r="N614" s="6">
        <f>IF(Tabela5[[#This Row],[Dim_Cenario'[Nome Cenario']]]=Tabela5[[#Headers],[INIC Atual]],Tabela5[[#This Row],['[Valores_cenario']]],0)</f>
        <v>0</v>
      </c>
      <c r="O614" s="6">
        <f>IF(Tabela5[[#This Row],[Dim_Cenario'[Nome Cenario']]]=Tabela5[[#Headers],[Revisado]],Tabela5[[#This Row],['[Valores_cenario']]],0)</f>
        <v>0</v>
      </c>
      <c r="P614" s="6">
        <f>IF(Tabela5[[#This Row],[Dim_Cenario'[Nome Cenario']]]=Tabela5[[#Headers],[Realizado]],Tabela5[[#This Row],['[Valores_cenario']]],0)</f>
        <v>1455</v>
      </c>
    </row>
    <row r="615" hidden="1" spans="1:16">
      <c r="A615" t="s">
        <v>97</v>
      </c>
      <c r="B615" t="s">
        <v>18</v>
      </c>
      <c r="C615" t="s">
        <v>98</v>
      </c>
      <c r="D615" t="s">
        <v>15</v>
      </c>
      <c r="E615">
        <v>2020</v>
      </c>
      <c r="F615" t="s">
        <v>30</v>
      </c>
      <c r="G615" t="s">
        <v>40</v>
      </c>
      <c r="H615">
        <v>7</v>
      </c>
      <c r="I615">
        <v>2182.5</v>
      </c>
      <c r="J615" t="s">
        <v>36</v>
      </c>
      <c r="K615" s="3">
        <v>44043</v>
      </c>
      <c r="L615" t="s">
        <v>213</v>
      </c>
      <c r="M615" t="s">
        <v>344</v>
      </c>
      <c r="N615" s="6">
        <f>IF(Tabela5[[#This Row],[Dim_Cenario'[Nome Cenario']]]=Tabela5[[#Headers],[INIC Atual]],Tabela5[[#This Row],['[Valores_cenario']]],0)</f>
        <v>0</v>
      </c>
      <c r="O615" s="6">
        <f>IF(Tabela5[[#This Row],[Dim_Cenario'[Nome Cenario']]]=Tabela5[[#Headers],[Revisado]],Tabela5[[#This Row],['[Valores_cenario']]],0)</f>
        <v>0</v>
      </c>
      <c r="P615" s="6">
        <f>IF(Tabela5[[#This Row],[Dim_Cenario'[Nome Cenario']]]=Tabela5[[#Headers],[Realizado]],Tabela5[[#This Row],['[Valores_cenario']]],0)</f>
        <v>2182.5</v>
      </c>
    </row>
    <row r="616" hidden="1" spans="1:16">
      <c r="A616" t="s">
        <v>97</v>
      </c>
      <c r="B616" t="s">
        <v>18</v>
      </c>
      <c r="C616" t="s">
        <v>98</v>
      </c>
      <c r="D616" t="s">
        <v>15</v>
      </c>
      <c r="E616">
        <v>2020</v>
      </c>
      <c r="F616" t="s">
        <v>30</v>
      </c>
      <c r="G616" t="s">
        <v>40</v>
      </c>
      <c r="H616">
        <v>7</v>
      </c>
      <c r="I616">
        <v>2910</v>
      </c>
      <c r="J616" t="s">
        <v>36</v>
      </c>
      <c r="K616" s="3">
        <v>44043</v>
      </c>
      <c r="L616" t="s">
        <v>213</v>
      </c>
      <c r="M616" t="s">
        <v>345</v>
      </c>
      <c r="N616" s="6">
        <f>IF(Tabela5[[#This Row],[Dim_Cenario'[Nome Cenario']]]=Tabela5[[#Headers],[INIC Atual]],Tabela5[[#This Row],['[Valores_cenario']]],0)</f>
        <v>0</v>
      </c>
      <c r="O616" s="6">
        <f>IF(Tabela5[[#This Row],[Dim_Cenario'[Nome Cenario']]]=Tabela5[[#Headers],[Revisado]],Tabela5[[#This Row],['[Valores_cenario']]],0)</f>
        <v>0</v>
      </c>
      <c r="P616" s="6">
        <f>IF(Tabela5[[#This Row],[Dim_Cenario'[Nome Cenario']]]=Tabela5[[#Headers],[Realizado]],Tabela5[[#This Row],['[Valores_cenario']]],0)</f>
        <v>2910</v>
      </c>
    </row>
    <row r="617" hidden="1" spans="1:16">
      <c r="A617" t="s">
        <v>97</v>
      </c>
      <c r="B617" t="s">
        <v>18</v>
      </c>
      <c r="C617" t="s">
        <v>98</v>
      </c>
      <c r="D617" t="s">
        <v>15</v>
      </c>
      <c r="E617">
        <v>2020</v>
      </c>
      <c r="F617" t="s">
        <v>30</v>
      </c>
      <c r="G617" t="s">
        <v>40</v>
      </c>
      <c r="H617">
        <v>7</v>
      </c>
      <c r="I617">
        <v>727.5</v>
      </c>
      <c r="J617" t="s">
        <v>36</v>
      </c>
      <c r="K617" s="3">
        <v>44043</v>
      </c>
      <c r="L617" t="s">
        <v>213</v>
      </c>
      <c r="M617" t="s">
        <v>346</v>
      </c>
      <c r="N617" s="6">
        <f>IF(Tabela5[[#This Row],[Dim_Cenario'[Nome Cenario']]]=Tabela5[[#Headers],[INIC Atual]],Tabela5[[#This Row],['[Valores_cenario']]],0)</f>
        <v>0</v>
      </c>
      <c r="O617" s="6">
        <f>IF(Tabela5[[#This Row],[Dim_Cenario'[Nome Cenario']]]=Tabela5[[#Headers],[Revisado]],Tabela5[[#This Row],['[Valores_cenario']]],0)</f>
        <v>0</v>
      </c>
      <c r="P617" s="6">
        <f>IF(Tabela5[[#This Row],[Dim_Cenario'[Nome Cenario']]]=Tabela5[[#Headers],[Realizado]],Tabela5[[#This Row],['[Valores_cenario']]],0)</f>
        <v>727.5</v>
      </c>
    </row>
    <row r="618" hidden="1" spans="1:16">
      <c r="A618" t="s">
        <v>97</v>
      </c>
      <c r="B618" t="s">
        <v>18</v>
      </c>
      <c r="C618" t="s">
        <v>98</v>
      </c>
      <c r="D618" t="s">
        <v>15</v>
      </c>
      <c r="E618">
        <v>2020</v>
      </c>
      <c r="F618" t="s">
        <v>30</v>
      </c>
      <c r="G618" t="s">
        <v>40</v>
      </c>
      <c r="H618">
        <v>7</v>
      </c>
      <c r="I618">
        <v>727.5</v>
      </c>
      <c r="J618" t="s">
        <v>36</v>
      </c>
      <c r="K618" s="3">
        <v>44043</v>
      </c>
      <c r="L618" t="s">
        <v>213</v>
      </c>
      <c r="M618" t="s">
        <v>347</v>
      </c>
      <c r="N618" s="6">
        <f>IF(Tabela5[[#This Row],[Dim_Cenario'[Nome Cenario']]]=Tabela5[[#Headers],[INIC Atual]],Tabela5[[#This Row],['[Valores_cenario']]],0)</f>
        <v>0</v>
      </c>
      <c r="O618" s="6">
        <f>IF(Tabela5[[#This Row],[Dim_Cenario'[Nome Cenario']]]=Tabela5[[#Headers],[Revisado]],Tabela5[[#This Row],['[Valores_cenario']]],0)</f>
        <v>0</v>
      </c>
      <c r="P618" s="6">
        <f>IF(Tabela5[[#This Row],[Dim_Cenario'[Nome Cenario']]]=Tabela5[[#Headers],[Realizado]],Tabela5[[#This Row],['[Valores_cenario']]],0)</f>
        <v>727.5</v>
      </c>
    </row>
    <row r="619" hidden="1" spans="1:16">
      <c r="A619" t="s">
        <v>17</v>
      </c>
      <c r="B619" t="s">
        <v>18</v>
      </c>
      <c r="C619" t="s">
        <v>37</v>
      </c>
      <c r="D619" t="s">
        <v>14</v>
      </c>
      <c r="E619">
        <v>2023</v>
      </c>
      <c r="F619" t="s">
        <v>30</v>
      </c>
      <c r="G619" t="s">
        <v>31</v>
      </c>
      <c r="H619">
        <v>8</v>
      </c>
      <c r="I619">
        <v>0.28</v>
      </c>
      <c r="J619" t="s">
        <v>23</v>
      </c>
      <c r="K619" s="3"/>
      <c r="N619" s="6">
        <f>IF(Tabela5[[#This Row],[Dim_Cenario'[Nome Cenario']]]=Tabela5[[#Headers],[INIC Atual]],Tabela5[[#This Row],['[Valores_cenario']]],0)</f>
        <v>0</v>
      </c>
      <c r="O619" s="6">
        <f>IF(Tabela5[[#This Row],[Dim_Cenario'[Nome Cenario']]]=Tabela5[[#Headers],[Revisado]],Tabela5[[#This Row],['[Valores_cenario']]],0)</f>
        <v>0.28</v>
      </c>
      <c r="P619" s="6">
        <f>IF(Tabela5[[#This Row],[Dim_Cenario'[Nome Cenario']]]=Tabela5[[#Headers],[Realizado]],Tabela5[[#This Row],['[Valores_cenario']]],0)</f>
        <v>0</v>
      </c>
    </row>
    <row r="620" hidden="1" spans="1:16">
      <c r="A620" t="s">
        <v>180</v>
      </c>
      <c r="B620" t="s">
        <v>18</v>
      </c>
      <c r="C620" t="s">
        <v>181</v>
      </c>
      <c r="D620" t="s">
        <v>15</v>
      </c>
      <c r="E620">
        <v>2020</v>
      </c>
      <c r="F620" t="s">
        <v>30</v>
      </c>
      <c r="G620" t="s">
        <v>31</v>
      </c>
      <c r="H620">
        <v>8</v>
      </c>
      <c r="I620">
        <v>75000</v>
      </c>
      <c r="J620" t="s">
        <v>36</v>
      </c>
      <c r="K620" s="3">
        <v>44070</v>
      </c>
      <c r="L620" t="s">
        <v>337</v>
      </c>
      <c r="M620" t="s">
        <v>348</v>
      </c>
      <c r="N620" s="6">
        <f>IF(Tabela5[[#This Row],[Dim_Cenario'[Nome Cenario']]]=Tabela5[[#Headers],[INIC Atual]],Tabela5[[#This Row],['[Valores_cenario']]],0)</f>
        <v>0</v>
      </c>
      <c r="O620" s="6">
        <f>IF(Tabela5[[#This Row],[Dim_Cenario'[Nome Cenario']]]=Tabela5[[#Headers],[Revisado]],Tabela5[[#This Row],['[Valores_cenario']]],0)</f>
        <v>0</v>
      </c>
      <c r="P620" s="6">
        <f>IF(Tabela5[[#This Row],[Dim_Cenario'[Nome Cenario']]]=Tabela5[[#Headers],[Realizado]],Tabela5[[#This Row],['[Valores_cenario']]],0)</f>
        <v>75000</v>
      </c>
    </row>
    <row r="621" hidden="1" spans="1:16">
      <c r="A621" t="s">
        <v>180</v>
      </c>
      <c r="B621" t="s">
        <v>18</v>
      </c>
      <c r="C621" t="s">
        <v>181</v>
      </c>
      <c r="D621" t="s">
        <v>15</v>
      </c>
      <c r="E621">
        <v>2020</v>
      </c>
      <c r="F621" t="s">
        <v>30</v>
      </c>
      <c r="G621" t="s">
        <v>31</v>
      </c>
      <c r="H621">
        <v>8</v>
      </c>
      <c r="I621">
        <v>32000</v>
      </c>
      <c r="J621" t="s">
        <v>36</v>
      </c>
      <c r="K621" s="3">
        <v>44070</v>
      </c>
      <c r="L621" t="s">
        <v>337</v>
      </c>
      <c r="M621" t="s">
        <v>349</v>
      </c>
      <c r="N621" s="6">
        <f>IF(Tabela5[[#This Row],[Dim_Cenario'[Nome Cenario']]]=Tabela5[[#Headers],[INIC Atual]],Tabela5[[#This Row],['[Valores_cenario']]],0)</f>
        <v>0</v>
      </c>
      <c r="O621" s="6">
        <f>IF(Tabela5[[#This Row],[Dim_Cenario'[Nome Cenario']]]=Tabela5[[#Headers],[Revisado]],Tabela5[[#This Row],['[Valores_cenario']]],0)</f>
        <v>0</v>
      </c>
      <c r="P621" s="6">
        <f>IF(Tabela5[[#This Row],[Dim_Cenario'[Nome Cenario']]]=Tabela5[[#Headers],[Realizado]],Tabela5[[#This Row],['[Valores_cenario']]],0)</f>
        <v>32000</v>
      </c>
    </row>
    <row r="622" hidden="1" spans="1:16">
      <c r="A622" t="s">
        <v>17</v>
      </c>
      <c r="B622" t="s">
        <v>18</v>
      </c>
      <c r="C622" t="s">
        <v>37</v>
      </c>
      <c r="D622" t="s">
        <v>14</v>
      </c>
      <c r="E622">
        <v>2023</v>
      </c>
      <c r="F622" t="s">
        <v>30</v>
      </c>
      <c r="G622" t="s">
        <v>41</v>
      </c>
      <c r="H622">
        <v>9</v>
      </c>
      <c r="I622">
        <v>60926.28</v>
      </c>
      <c r="J622" t="s">
        <v>23</v>
      </c>
      <c r="K622" s="3"/>
      <c r="N622" s="6">
        <f>IF(Tabela5[[#This Row],[Dim_Cenario'[Nome Cenario']]]=Tabela5[[#Headers],[INIC Atual]],Tabela5[[#This Row],['[Valores_cenario']]],0)</f>
        <v>0</v>
      </c>
      <c r="O622" s="6">
        <f>IF(Tabela5[[#This Row],[Dim_Cenario'[Nome Cenario']]]=Tabela5[[#Headers],[Revisado]],Tabela5[[#This Row],['[Valores_cenario']]],0)</f>
        <v>60926.28</v>
      </c>
      <c r="P622" s="6">
        <f>IF(Tabela5[[#This Row],[Dim_Cenario'[Nome Cenario']]]=Tabela5[[#Headers],[Realizado]],Tabela5[[#This Row],['[Valores_cenario']]],0)</f>
        <v>0</v>
      </c>
    </row>
    <row r="623" hidden="1" spans="1:16">
      <c r="A623" t="s">
        <v>17</v>
      </c>
      <c r="B623" t="s">
        <v>18</v>
      </c>
      <c r="C623" t="s">
        <v>37</v>
      </c>
      <c r="D623" t="s">
        <v>14</v>
      </c>
      <c r="E623">
        <v>2023</v>
      </c>
      <c r="F623" t="s">
        <v>21</v>
      </c>
      <c r="G623" t="s">
        <v>22</v>
      </c>
      <c r="H623">
        <v>10</v>
      </c>
      <c r="I623">
        <v>5024.28</v>
      </c>
      <c r="J623" t="s">
        <v>23</v>
      </c>
      <c r="K623" s="3"/>
      <c r="N623" s="6">
        <f>IF(Tabela5[[#This Row],[Dim_Cenario'[Nome Cenario']]]=Tabela5[[#Headers],[INIC Atual]],Tabela5[[#This Row],['[Valores_cenario']]],0)</f>
        <v>0</v>
      </c>
      <c r="O623" s="6">
        <f>IF(Tabela5[[#This Row],[Dim_Cenario'[Nome Cenario']]]=Tabela5[[#Headers],[Revisado]],Tabela5[[#This Row],['[Valores_cenario']]],0)</f>
        <v>5024.28</v>
      </c>
      <c r="P623" s="6">
        <f>IF(Tabela5[[#This Row],[Dim_Cenario'[Nome Cenario']]]=Tabela5[[#Headers],[Realizado]],Tabela5[[#This Row],['[Valores_cenario']]],0)</f>
        <v>0</v>
      </c>
    </row>
    <row r="624" hidden="1" spans="1:16">
      <c r="A624" t="s">
        <v>97</v>
      </c>
      <c r="B624" t="s">
        <v>18</v>
      </c>
      <c r="C624" t="s">
        <v>210</v>
      </c>
      <c r="D624" t="s">
        <v>15</v>
      </c>
      <c r="E624">
        <v>2020</v>
      </c>
      <c r="F624" t="s">
        <v>30</v>
      </c>
      <c r="G624" t="s">
        <v>41</v>
      </c>
      <c r="H624">
        <v>9</v>
      </c>
      <c r="I624">
        <v>230000</v>
      </c>
      <c r="J624" t="s">
        <v>36</v>
      </c>
      <c r="K624" s="3">
        <v>44104</v>
      </c>
      <c r="L624" t="s">
        <v>350</v>
      </c>
      <c r="M624" t="s">
        <v>351</v>
      </c>
      <c r="N624" s="6">
        <f>IF(Tabela5[[#This Row],[Dim_Cenario'[Nome Cenario']]]=Tabela5[[#Headers],[INIC Atual]],Tabela5[[#This Row],['[Valores_cenario']]],0)</f>
        <v>0</v>
      </c>
      <c r="O624" s="6">
        <f>IF(Tabela5[[#This Row],[Dim_Cenario'[Nome Cenario']]]=Tabela5[[#Headers],[Revisado]],Tabela5[[#This Row],['[Valores_cenario']]],0)</f>
        <v>0</v>
      </c>
      <c r="P624" s="6">
        <f>IF(Tabela5[[#This Row],[Dim_Cenario'[Nome Cenario']]]=Tabela5[[#Headers],[Realizado]],Tabela5[[#This Row],['[Valores_cenario']]],0)</f>
        <v>230000</v>
      </c>
    </row>
    <row r="625" hidden="1" spans="1:16">
      <c r="A625" t="s">
        <v>17</v>
      </c>
      <c r="B625" t="s">
        <v>18</v>
      </c>
      <c r="C625" t="s">
        <v>37</v>
      </c>
      <c r="D625" t="s">
        <v>14</v>
      </c>
      <c r="E625">
        <v>2023</v>
      </c>
      <c r="F625" t="s">
        <v>21</v>
      </c>
      <c r="G625" t="s">
        <v>24</v>
      </c>
      <c r="H625">
        <v>11</v>
      </c>
      <c r="I625">
        <v>1200.28</v>
      </c>
      <c r="J625" t="s">
        <v>23</v>
      </c>
      <c r="K625" s="3"/>
      <c r="N625" s="6">
        <f>IF(Tabela5[[#This Row],[Dim_Cenario'[Nome Cenario']]]=Tabela5[[#Headers],[INIC Atual]],Tabela5[[#This Row],['[Valores_cenario']]],0)</f>
        <v>0</v>
      </c>
      <c r="O625" s="6">
        <f>IF(Tabela5[[#This Row],[Dim_Cenario'[Nome Cenario']]]=Tabela5[[#Headers],[Revisado]],Tabela5[[#This Row],['[Valores_cenario']]],0)</f>
        <v>1200.28</v>
      </c>
      <c r="P625" s="6">
        <f>IF(Tabela5[[#This Row],[Dim_Cenario'[Nome Cenario']]]=Tabela5[[#Headers],[Realizado]],Tabela5[[#This Row],['[Valores_cenario']]],0)</f>
        <v>0</v>
      </c>
    </row>
    <row r="626" hidden="1" spans="1:16">
      <c r="A626" t="s">
        <v>97</v>
      </c>
      <c r="B626" t="s">
        <v>18</v>
      </c>
      <c r="C626" t="s">
        <v>210</v>
      </c>
      <c r="D626" t="s">
        <v>15</v>
      </c>
      <c r="E626">
        <v>2020</v>
      </c>
      <c r="F626" t="s">
        <v>21</v>
      </c>
      <c r="G626" t="s">
        <v>24</v>
      </c>
      <c r="H626">
        <v>11</v>
      </c>
      <c r="I626">
        <v>230000</v>
      </c>
      <c r="J626" t="s">
        <v>36</v>
      </c>
      <c r="K626" s="3">
        <v>44144</v>
      </c>
      <c r="L626" t="s">
        <v>350</v>
      </c>
      <c r="M626" t="s">
        <v>352</v>
      </c>
      <c r="N626" s="6">
        <f>IF(Tabela5[[#This Row],[Dim_Cenario'[Nome Cenario']]]=Tabela5[[#Headers],[INIC Atual]],Tabela5[[#This Row],['[Valores_cenario']]],0)</f>
        <v>0</v>
      </c>
      <c r="O626" s="6">
        <f>IF(Tabela5[[#This Row],[Dim_Cenario'[Nome Cenario']]]=Tabela5[[#Headers],[Revisado]],Tabela5[[#This Row],['[Valores_cenario']]],0)</f>
        <v>0</v>
      </c>
      <c r="P626" s="6">
        <f>IF(Tabela5[[#This Row],[Dim_Cenario'[Nome Cenario']]]=Tabela5[[#Headers],[Realizado]],Tabela5[[#This Row],['[Valores_cenario']]],0)</f>
        <v>230000</v>
      </c>
    </row>
    <row r="627" hidden="1" spans="1:16">
      <c r="A627" t="s">
        <v>17</v>
      </c>
      <c r="B627" t="s">
        <v>18</v>
      </c>
      <c r="C627" t="s">
        <v>37</v>
      </c>
      <c r="D627" t="s">
        <v>14</v>
      </c>
      <c r="E627">
        <v>2023</v>
      </c>
      <c r="F627" t="s">
        <v>21</v>
      </c>
      <c r="G627" t="s">
        <v>32</v>
      </c>
      <c r="H627">
        <v>12</v>
      </c>
      <c r="I627">
        <v>3093.28</v>
      </c>
      <c r="J627" t="s">
        <v>23</v>
      </c>
      <c r="K627" s="3"/>
      <c r="N627" s="6">
        <f>IF(Tabela5[[#This Row],[Dim_Cenario'[Nome Cenario']]]=Tabela5[[#Headers],[INIC Atual]],Tabela5[[#This Row],['[Valores_cenario']]],0)</f>
        <v>0</v>
      </c>
      <c r="O627" s="6">
        <f>IF(Tabela5[[#This Row],[Dim_Cenario'[Nome Cenario']]]=Tabela5[[#Headers],[Revisado]],Tabela5[[#This Row],['[Valores_cenario']]],0)</f>
        <v>3093.28</v>
      </c>
      <c r="P627" s="6">
        <f>IF(Tabela5[[#This Row],[Dim_Cenario'[Nome Cenario']]]=Tabela5[[#Headers],[Realizado]],Tabela5[[#This Row],['[Valores_cenario']]],0)</f>
        <v>0</v>
      </c>
    </row>
    <row r="628" hidden="1" spans="1:16">
      <c r="A628" t="s">
        <v>17</v>
      </c>
      <c r="B628" t="s">
        <v>92</v>
      </c>
      <c r="C628" t="s">
        <v>37</v>
      </c>
      <c r="D628" t="s">
        <v>14</v>
      </c>
      <c r="E628">
        <v>2023</v>
      </c>
      <c r="F628" t="s">
        <v>21</v>
      </c>
      <c r="G628" t="s">
        <v>22</v>
      </c>
      <c r="H628">
        <v>10</v>
      </c>
      <c r="I628">
        <v>41868</v>
      </c>
      <c r="J628" t="s">
        <v>23</v>
      </c>
      <c r="K628" s="3"/>
      <c r="N628" s="6">
        <f>IF(Tabela5[[#This Row],[Dim_Cenario'[Nome Cenario']]]=Tabela5[[#Headers],[INIC Atual]],Tabela5[[#This Row],['[Valores_cenario']]],0)</f>
        <v>0</v>
      </c>
      <c r="O628" s="6">
        <f>IF(Tabela5[[#This Row],[Dim_Cenario'[Nome Cenario']]]=Tabela5[[#Headers],[Revisado]],Tabela5[[#This Row],['[Valores_cenario']]],0)</f>
        <v>41868</v>
      </c>
      <c r="P628" s="6">
        <f>IF(Tabela5[[#This Row],[Dim_Cenario'[Nome Cenario']]]=Tabela5[[#Headers],[Realizado]],Tabela5[[#This Row],['[Valores_cenario']]],0)</f>
        <v>0</v>
      </c>
    </row>
    <row r="629" spans="1:16">
      <c r="A629" t="s">
        <v>17</v>
      </c>
      <c r="B629" t="s">
        <v>92</v>
      </c>
      <c r="C629" t="s">
        <v>37</v>
      </c>
      <c r="D629" t="s">
        <v>15</v>
      </c>
      <c r="E629">
        <v>2025</v>
      </c>
      <c r="F629" t="s">
        <v>21</v>
      </c>
      <c r="G629" t="s">
        <v>22</v>
      </c>
      <c r="H629">
        <v>10</v>
      </c>
      <c r="I629">
        <v>1676.14</v>
      </c>
      <c r="J629" t="s">
        <v>33</v>
      </c>
      <c r="K629" s="3">
        <v>45961</v>
      </c>
      <c r="M629" t="s">
        <v>353</v>
      </c>
      <c r="N629" s="6">
        <f>IF(Tabela5[[#This Row],[Dim_Cenario'[Nome Cenario']]]=Tabela5[[#Headers],[INIC Atual]],Tabela5[[#This Row],['[Valores_cenario']]],0)</f>
        <v>0</v>
      </c>
      <c r="O629" s="6">
        <f>IF(Tabela5[[#This Row],[Dim_Cenario'[Nome Cenario']]]=Tabela5[[#Headers],[Revisado]],Tabela5[[#This Row],['[Valores_cenario']]],0)</f>
        <v>0</v>
      </c>
      <c r="P629" s="6">
        <f>IF(Tabela5[[#This Row],[Dim_Cenario'[Nome Cenario']]]=Tabela5[[#Headers],[Realizado]],Tabela5[[#This Row],['[Valores_cenario']]],0)</f>
        <v>1676.14</v>
      </c>
    </row>
    <row r="630" hidden="1" spans="1:16">
      <c r="A630" t="s">
        <v>17</v>
      </c>
      <c r="B630" t="s">
        <v>18</v>
      </c>
      <c r="C630" t="s">
        <v>19</v>
      </c>
      <c r="D630" t="s">
        <v>15</v>
      </c>
      <c r="E630">
        <v>2020</v>
      </c>
      <c r="F630" t="s">
        <v>21</v>
      </c>
      <c r="G630" t="s">
        <v>32</v>
      </c>
      <c r="H630">
        <v>12</v>
      </c>
      <c r="I630">
        <v>-54900</v>
      </c>
      <c r="J630" t="s">
        <v>36</v>
      </c>
      <c r="K630" s="3">
        <v>44183</v>
      </c>
      <c r="L630" t="s">
        <v>354</v>
      </c>
      <c r="M630" t="s">
        <v>355</v>
      </c>
      <c r="N630" s="6">
        <f>IF(Tabela5[[#This Row],[Dim_Cenario'[Nome Cenario']]]=Tabela5[[#Headers],[INIC Atual]],Tabela5[[#This Row],['[Valores_cenario']]],0)</f>
        <v>0</v>
      </c>
      <c r="O630" s="6">
        <f>IF(Tabela5[[#This Row],[Dim_Cenario'[Nome Cenario']]]=Tabela5[[#Headers],[Revisado]],Tabela5[[#This Row],['[Valores_cenario']]],0)</f>
        <v>0</v>
      </c>
      <c r="P630" s="6">
        <f>IF(Tabela5[[#This Row],[Dim_Cenario'[Nome Cenario']]]=Tabela5[[#Headers],[Realizado]],Tabela5[[#This Row],['[Valores_cenario']]],0)</f>
        <v>-54900</v>
      </c>
    </row>
    <row r="631" hidden="1" spans="1:16">
      <c r="A631" t="s">
        <v>17</v>
      </c>
      <c r="B631" t="s">
        <v>18</v>
      </c>
      <c r="C631" t="s">
        <v>19</v>
      </c>
      <c r="D631" t="s">
        <v>15</v>
      </c>
      <c r="E631">
        <v>2020</v>
      </c>
      <c r="F631" t="s">
        <v>21</v>
      </c>
      <c r="G631" t="s">
        <v>32</v>
      </c>
      <c r="H631">
        <v>12</v>
      </c>
      <c r="I631">
        <v>54900</v>
      </c>
      <c r="J631" t="s">
        <v>36</v>
      </c>
      <c r="K631" s="3">
        <v>44183</v>
      </c>
      <c r="L631" t="s">
        <v>354</v>
      </c>
      <c r="M631" t="s">
        <v>356</v>
      </c>
      <c r="N631" s="6">
        <f>IF(Tabela5[[#This Row],[Dim_Cenario'[Nome Cenario']]]=Tabela5[[#Headers],[INIC Atual]],Tabela5[[#This Row],['[Valores_cenario']]],0)</f>
        <v>0</v>
      </c>
      <c r="O631" s="6">
        <f>IF(Tabela5[[#This Row],[Dim_Cenario'[Nome Cenario']]]=Tabela5[[#Headers],[Revisado]],Tabela5[[#This Row],['[Valores_cenario']]],0)</f>
        <v>0</v>
      </c>
      <c r="P631" s="6">
        <f>IF(Tabela5[[#This Row],[Dim_Cenario'[Nome Cenario']]]=Tabela5[[#Headers],[Realizado]],Tabela5[[#This Row],['[Valores_cenario']]],0)</f>
        <v>54900</v>
      </c>
    </row>
    <row r="632" spans="1:16">
      <c r="A632" t="s">
        <v>17</v>
      </c>
      <c r="B632" t="s">
        <v>18</v>
      </c>
      <c r="C632" t="s">
        <v>37</v>
      </c>
      <c r="D632" t="s">
        <v>15</v>
      </c>
      <c r="E632">
        <v>2019</v>
      </c>
      <c r="F632" t="s">
        <v>27</v>
      </c>
      <c r="G632" t="s">
        <v>28</v>
      </c>
      <c r="H632">
        <v>4</v>
      </c>
      <c r="I632">
        <v>1650</v>
      </c>
      <c r="J632" t="s">
        <v>36</v>
      </c>
      <c r="K632" s="3">
        <v>43572</v>
      </c>
      <c r="L632" t="s">
        <v>50</v>
      </c>
      <c r="M632" t="s">
        <v>357</v>
      </c>
      <c r="N632" s="6">
        <f>IF(Tabela5[[#This Row],[Dim_Cenario'[Nome Cenario']]]=Tabela5[[#Headers],[INIC Atual]],Tabela5[[#This Row],['[Valores_cenario']]],0)</f>
        <v>0</v>
      </c>
      <c r="O632" s="6">
        <f>IF(Tabela5[[#This Row],[Dim_Cenario'[Nome Cenario']]]=Tabela5[[#Headers],[Revisado]],Tabela5[[#This Row],['[Valores_cenario']]],0)</f>
        <v>0</v>
      </c>
      <c r="P632" s="6">
        <f>IF(Tabela5[[#This Row],[Dim_Cenario'[Nome Cenario']]]=Tabela5[[#Headers],[Realizado]],Tabela5[[#This Row],['[Valores_cenario']]],0)</f>
        <v>1650</v>
      </c>
    </row>
    <row r="633" hidden="1" spans="1:16">
      <c r="A633" t="s">
        <v>17</v>
      </c>
      <c r="B633" t="s">
        <v>18</v>
      </c>
      <c r="C633" t="s">
        <v>19</v>
      </c>
      <c r="D633" t="s">
        <v>15</v>
      </c>
      <c r="E633">
        <v>2020</v>
      </c>
      <c r="F633" t="s">
        <v>21</v>
      </c>
      <c r="G633" t="s">
        <v>32</v>
      </c>
      <c r="H633">
        <v>12</v>
      </c>
      <c r="I633">
        <v>55900</v>
      </c>
      <c r="J633" t="s">
        <v>36</v>
      </c>
      <c r="K633" s="3">
        <v>44188</v>
      </c>
      <c r="L633" t="s">
        <v>354</v>
      </c>
      <c r="M633" t="s">
        <v>356</v>
      </c>
      <c r="N633" s="6">
        <f>IF(Tabela5[[#This Row],[Dim_Cenario'[Nome Cenario']]]=Tabela5[[#Headers],[INIC Atual]],Tabela5[[#This Row],['[Valores_cenario']]],0)</f>
        <v>0</v>
      </c>
      <c r="O633" s="6">
        <f>IF(Tabela5[[#This Row],[Dim_Cenario'[Nome Cenario']]]=Tabela5[[#Headers],[Revisado]],Tabela5[[#This Row],['[Valores_cenario']]],0)</f>
        <v>0</v>
      </c>
      <c r="P633" s="6">
        <f>IF(Tabela5[[#This Row],[Dim_Cenario'[Nome Cenario']]]=Tabela5[[#Headers],[Realizado]],Tabela5[[#This Row],['[Valores_cenario']]],0)</f>
        <v>55900</v>
      </c>
    </row>
    <row r="634" spans="1:16">
      <c r="A634" t="s">
        <v>17</v>
      </c>
      <c r="B634" t="s">
        <v>18</v>
      </c>
      <c r="C634" t="s">
        <v>37</v>
      </c>
      <c r="D634" t="s">
        <v>15</v>
      </c>
      <c r="E634">
        <v>2023</v>
      </c>
      <c r="F634" t="s">
        <v>25</v>
      </c>
      <c r="G634" t="s">
        <v>26</v>
      </c>
      <c r="H634">
        <v>2</v>
      </c>
      <c r="I634">
        <v>1640</v>
      </c>
      <c r="J634" t="s">
        <v>23</v>
      </c>
      <c r="K634" s="3">
        <v>44966</v>
      </c>
      <c r="L634" t="s">
        <v>358</v>
      </c>
      <c r="M634" t="s">
        <v>359</v>
      </c>
      <c r="N634" s="6">
        <f>IF(Tabela5[[#This Row],[Dim_Cenario'[Nome Cenario']]]=Tabela5[[#Headers],[INIC Atual]],Tabela5[[#This Row],['[Valores_cenario']]],0)</f>
        <v>0</v>
      </c>
      <c r="O634" s="6">
        <f>IF(Tabela5[[#This Row],[Dim_Cenario'[Nome Cenario']]]=Tabela5[[#Headers],[Revisado]],Tabela5[[#This Row],['[Valores_cenario']]],0)</f>
        <v>0</v>
      </c>
      <c r="P634" s="6">
        <f>IF(Tabela5[[#This Row],[Dim_Cenario'[Nome Cenario']]]=Tabela5[[#Headers],[Realizado]],Tabela5[[#This Row],['[Valores_cenario']]],0)</f>
        <v>1640</v>
      </c>
    </row>
    <row r="635" hidden="1" spans="1:16">
      <c r="A635" t="s">
        <v>17</v>
      </c>
      <c r="B635" t="s">
        <v>18</v>
      </c>
      <c r="C635" t="s">
        <v>19</v>
      </c>
      <c r="D635" t="s">
        <v>15</v>
      </c>
      <c r="E635">
        <v>2021</v>
      </c>
      <c r="F635" t="s">
        <v>25</v>
      </c>
      <c r="G635" t="s">
        <v>26</v>
      </c>
      <c r="H635">
        <v>2</v>
      </c>
      <c r="I635">
        <v>24000</v>
      </c>
      <c r="J635" t="s">
        <v>36</v>
      </c>
      <c r="K635" s="3">
        <v>44239</v>
      </c>
      <c r="L635" t="s">
        <v>354</v>
      </c>
      <c r="M635" t="s">
        <v>360</v>
      </c>
      <c r="N635" s="6">
        <f>IF(Tabela5[[#This Row],[Dim_Cenario'[Nome Cenario']]]=Tabela5[[#Headers],[INIC Atual]],Tabela5[[#This Row],['[Valores_cenario']]],0)</f>
        <v>0</v>
      </c>
      <c r="O635" s="6">
        <f>IF(Tabela5[[#This Row],[Dim_Cenario'[Nome Cenario']]]=Tabela5[[#Headers],[Revisado]],Tabela5[[#This Row],['[Valores_cenario']]],0)</f>
        <v>0</v>
      </c>
      <c r="P635" s="6">
        <f>IF(Tabela5[[#This Row],[Dim_Cenario'[Nome Cenario']]]=Tabela5[[#Headers],[Realizado]],Tabela5[[#This Row],['[Valores_cenario']]],0)</f>
        <v>24000</v>
      </c>
    </row>
    <row r="636" hidden="1" spans="1:16">
      <c r="A636" t="s">
        <v>97</v>
      </c>
      <c r="B636" t="s">
        <v>18</v>
      </c>
      <c r="C636" t="s">
        <v>210</v>
      </c>
      <c r="D636" t="s">
        <v>15</v>
      </c>
      <c r="E636">
        <v>2021</v>
      </c>
      <c r="F636" t="s">
        <v>25</v>
      </c>
      <c r="G636" t="s">
        <v>26</v>
      </c>
      <c r="H636">
        <v>2</v>
      </c>
      <c r="I636">
        <v>460000</v>
      </c>
      <c r="J636" t="s">
        <v>36</v>
      </c>
      <c r="K636" s="3">
        <v>44252</v>
      </c>
      <c r="L636" t="s">
        <v>350</v>
      </c>
      <c r="M636" t="s">
        <v>361</v>
      </c>
      <c r="N636" s="6">
        <f>IF(Tabela5[[#This Row],[Dim_Cenario'[Nome Cenario']]]=Tabela5[[#Headers],[INIC Atual]],Tabela5[[#This Row],['[Valores_cenario']]],0)</f>
        <v>0</v>
      </c>
      <c r="O636" s="6">
        <f>IF(Tabela5[[#This Row],[Dim_Cenario'[Nome Cenario']]]=Tabela5[[#Headers],[Revisado]],Tabela5[[#This Row],['[Valores_cenario']]],0)</f>
        <v>0</v>
      </c>
      <c r="P636" s="6">
        <f>IF(Tabela5[[#This Row],[Dim_Cenario'[Nome Cenario']]]=Tabela5[[#Headers],[Realizado]],Tabela5[[#This Row],['[Valores_cenario']]],0)</f>
        <v>460000</v>
      </c>
    </row>
    <row r="637" spans="1:16">
      <c r="A637" t="s">
        <v>17</v>
      </c>
      <c r="B637" t="s">
        <v>18</v>
      </c>
      <c r="C637" t="s">
        <v>37</v>
      </c>
      <c r="D637" t="s">
        <v>15</v>
      </c>
      <c r="E637">
        <v>2020</v>
      </c>
      <c r="F637" t="s">
        <v>25</v>
      </c>
      <c r="G637" t="s">
        <v>38</v>
      </c>
      <c r="H637">
        <v>3</v>
      </c>
      <c r="I637">
        <v>1600</v>
      </c>
      <c r="J637" t="s">
        <v>36</v>
      </c>
      <c r="K637" s="3">
        <v>43908</v>
      </c>
      <c r="L637" t="s">
        <v>50</v>
      </c>
      <c r="M637" t="s">
        <v>362</v>
      </c>
      <c r="N637" s="6">
        <f>IF(Tabela5[[#This Row],[Dim_Cenario'[Nome Cenario']]]=Tabela5[[#Headers],[INIC Atual]],Tabela5[[#This Row],['[Valores_cenario']]],0)</f>
        <v>0</v>
      </c>
      <c r="O637" s="6">
        <f>IF(Tabela5[[#This Row],[Dim_Cenario'[Nome Cenario']]]=Tabela5[[#Headers],[Revisado]],Tabela5[[#This Row],['[Valores_cenario']]],0)</f>
        <v>0</v>
      </c>
      <c r="P637" s="6">
        <f>IF(Tabela5[[#This Row],[Dim_Cenario'[Nome Cenario']]]=Tabela5[[#Headers],[Realizado]],Tabela5[[#This Row],['[Valores_cenario']]],0)</f>
        <v>1600</v>
      </c>
    </row>
    <row r="638" hidden="1" spans="1:16">
      <c r="A638" t="s">
        <v>17</v>
      </c>
      <c r="B638" t="s">
        <v>18</v>
      </c>
      <c r="C638" t="s">
        <v>96</v>
      </c>
      <c r="D638" t="s">
        <v>15</v>
      </c>
      <c r="E638">
        <v>2021</v>
      </c>
      <c r="F638" t="s">
        <v>25</v>
      </c>
      <c r="G638" t="s">
        <v>38</v>
      </c>
      <c r="H638">
        <v>3</v>
      </c>
      <c r="I638">
        <v>26675</v>
      </c>
      <c r="J638" t="s">
        <v>36</v>
      </c>
      <c r="K638" s="3">
        <v>44278</v>
      </c>
      <c r="L638" t="s">
        <v>363</v>
      </c>
      <c r="M638" t="s">
        <v>364</v>
      </c>
      <c r="N638" s="6">
        <f>IF(Tabela5[[#This Row],[Dim_Cenario'[Nome Cenario']]]=Tabela5[[#Headers],[INIC Atual]],Tabela5[[#This Row],['[Valores_cenario']]],0)</f>
        <v>0</v>
      </c>
      <c r="O638" s="6">
        <f>IF(Tabela5[[#This Row],[Dim_Cenario'[Nome Cenario']]]=Tabela5[[#Headers],[Revisado]],Tabela5[[#This Row],['[Valores_cenario']]],0)</f>
        <v>0</v>
      </c>
      <c r="P638" s="6">
        <f>IF(Tabela5[[#This Row],[Dim_Cenario'[Nome Cenario']]]=Tabela5[[#Headers],[Realizado]],Tabela5[[#This Row],['[Valores_cenario']]],0)</f>
        <v>26675</v>
      </c>
    </row>
    <row r="639" hidden="1" spans="1:16">
      <c r="A639" t="s">
        <v>17</v>
      </c>
      <c r="B639" t="s">
        <v>18</v>
      </c>
      <c r="C639" t="s">
        <v>96</v>
      </c>
      <c r="D639" t="s">
        <v>15</v>
      </c>
      <c r="E639">
        <v>2021</v>
      </c>
      <c r="F639" t="s">
        <v>25</v>
      </c>
      <c r="G639" t="s">
        <v>38</v>
      </c>
      <c r="H639">
        <v>3</v>
      </c>
      <c r="I639">
        <v>26675</v>
      </c>
      <c r="J639" t="s">
        <v>36</v>
      </c>
      <c r="K639" s="3">
        <v>44278</v>
      </c>
      <c r="L639" t="s">
        <v>363</v>
      </c>
      <c r="M639" t="s">
        <v>365</v>
      </c>
      <c r="N639" s="6">
        <f>IF(Tabela5[[#This Row],[Dim_Cenario'[Nome Cenario']]]=Tabela5[[#Headers],[INIC Atual]],Tabela5[[#This Row],['[Valores_cenario']]],0)</f>
        <v>0</v>
      </c>
      <c r="O639" s="6">
        <f>IF(Tabela5[[#This Row],[Dim_Cenario'[Nome Cenario']]]=Tabela5[[#Headers],[Revisado]],Tabela5[[#This Row],['[Valores_cenario']]],0)</f>
        <v>0</v>
      </c>
      <c r="P639" s="6">
        <f>IF(Tabela5[[#This Row],[Dim_Cenario'[Nome Cenario']]]=Tabela5[[#Headers],[Realizado]],Tabela5[[#This Row],['[Valores_cenario']]],0)</f>
        <v>26675</v>
      </c>
    </row>
    <row r="640" spans="1:16">
      <c r="A640" t="s">
        <v>17</v>
      </c>
      <c r="B640" t="s">
        <v>18</v>
      </c>
      <c r="C640" t="s">
        <v>37</v>
      </c>
      <c r="D640" t="s">
        <v>15</v>
      </c>
      <c r="E640">
        <v>2021</v>
      </c>
      <c r="F640" t="s">
        <v>25</v>
      </c>
      <c r="G640" t="s">
        <v>35</v>
      </c>
      <c r="H640">
        <v>1</v>
      </c>
      <c r="I640">
        <v>1400</v>
      </c>
      <c r="J640" t="s">
        <v>36</v>
      </c>
      <c r="K640" s="3">
        <v>44215</v>
      </c>
      <c r="L640" t="s">
        <v>366</v>
      </c>
      <c r="M640" t="s">
        <v>367</v>
      </c>
      <c r="N640" s="6">
        <f>IF(Tabela5[[#This Row],[Dim_Cenario'[Nome Cenario']]]=Tabela5[[#Headers],[INIC Atual]],Tabela5[[#This Row],['[Valores_cenario']]],0)</f>
        <v>0</v>
      </c>
      <c r="O640" s="6">
        <f>IF(Tabela5[[#This Row],[Dim_Cenario'[Nome Cenario']]]=Tabela5[[#Headers],[Revisado]],Tabela5[[#This Row],['[Valores_cenario']]],0)</f>
        <v>0</v>
      </c>
      <c r="P640" s="6">
        <f>IF(Tabela5[[#This Row],[Dim_Cenario'[Nome Cenario']]]=Tabela5[[#Headers],[Realizado]],Tabela5[[#This Row],['[Valores_cenario']]],0)</f>
        <v>1400</v>
      </c>
    </row>
    <row r="641" spans="1:16">
      <c r="A641" t="s">
        <v>17</v>
      </c>
      <c r="B641" t="s">
        <v>18</v>
      </c>
      <c r="C641" t="s">
        <v>37</v>
      </c>
      <c r="D641" t="s">
        <v>15</v>
      </c>
      <c r="E641">
        <v>2021</v>
      </c>
      <c r="F641" t="s">
        <v>30</v>
      </c>
      <c r="G641" t="s">
        <v>40</v>
      </c>
      <c r="H641">
        <v>7</v>
      </c>
      <c r="I641">
        <v>1400</v>
      </c>
      <c r="J641" t="s">
        <v>36</v>
      </c>
      <c r="K641" s="3">
        <v>44406</v>
      </c>
      <c r="L641" t="s">
        <v>368</v>
      </c>
      <c r="M641" t="s">
        <v>369</v>
      </c>
      <c r="N641" s="6">
        <f>IF(Tabela5[[#This Row],[Dim_Cenario'[Nome Cenario']]]=Tabela5[[#Headers],[INIC Atual]],Tabela5[[#This Row],['[Valores_cenario']]],0)</f>
        <v>0</v>
      </c>
      <c r="O641" s="6">
        <f>IF(Tabela5[[#This Row],[Dim_Cenario'[Nome Cenario']]]=Tabela5[[#Headers],[Revisado]],Tabela5[[#This Row],['[Valores_cenario']]],0)</f>
        <v>0</v>
      </c>
      <c r="P641" s="6">
        <f>IF(Tabela5[[#This Row],[Dim_Cenario'[Nome Cenario']]]=Tabela5[[#Headers],[Realizado]],Tabela5[[#This Row],['[Valores_cenario']]],0)</f>
        <v>1400</v>
      </c>
    </row>
    <row r="642" spans="1:16">
      <c r="A642" t="s">
        <v>17</v>
      </c>
      <c r="B642" t="s">
        <v>18</v>
      </c>
      <c r="C642" t="s">
        <v>37</v>
      </c>
      <c r="D642" t="s">
        <v>15</v>
      </c>
      <c r="E642">
        <v>2022</v>
      </c>
      <c r="F642" t="s">
        <v>25</v>
      </c>
      <c r="G642" t="s">
        <v>38</v>
      </c>
      <c r="H642">
        <v>3</v>
      </c>
      <c r="I642">
        <v>1400</v>
      </c>
      <c r="J642" t="s">
        <v>23</v>
      </c>
      <c r="K642" s="3">
        <v>44643</v>
      </c>
      <c r="L642" t="s">
        <v>370</v>
      </c>
      <c r="M642" t="s">
        <v>371</v>
      </c>
      <c r="N642" s="6">
        <f>IF(Tabela5[[#This Row],[Dim_Cenario'[Nome Cenario']]]=Tabela5[[#Headers],[INIC Atual]],Tabela5[[#This Row],['[Valores_cenario']]],0)</f>
        <v>0</v>
      </c>
      <c r="O642" s="6">
        <f>IF(Tabela5[[#This Row],[Dim_Cenario'[Nome Cenario']]]=Tabela5[[#Headers],[Revisado]],Tabela5[[#This Row],['[Valores_cenario']]],0)</f>
        <v>0</v>
      </c>
      <c r="P642" s="6">
        <f>IF(Tabela5[[#This Row],[Dim_Cenario'[Nome Cenario']]]=Tabela5[[#Headers],[Realizado]],Tabela5[[#This Row],['[Valores_cenario']]],0)</f>
        <v>1400</v>
      </c>
    </row>
    <row r="643" spans="1:16">
      <c r="A643" t="s">
        <v>17</v>
      </c>
      <c r="B643" t="s">
        <v>18</v>
      </c>
      <c r="C643" t="s">
        <v>37</v>
      </c>
      <c r="D643" t="s">
        <v>15</v>
      </c>
      <c r="E643">
        <v>2019</v>
      </c>
      <c r="F643" t="s">
        <v>25</v>
      </c>
      <c r="G643" t="s">
        <v>38</v>
      </c>
      <c r="H643">
        <v>3</v>
      </c>
      <c r="I643">
        <v>1296.2</v>
      </c>
      <c r="J643" t="s">
        <v>36</v>
      </c>
      <c r="K643" s="3">
        <v>43550</v>
      </c>
      <c r="L643" t="s">
        <v>48</v>
      </c>
      <c r="M643" t="s">
        <v>372</v>
      </c>
      <c r="N643" s="6">
        <f>IF(Tabela5[[#This Row],[Dim_Cenario'[Nome Cenario']]]=Tabela5[[#Headers],[INIC Atual]],Tabela5[[#This Row],['[Valores_cenario']]],0)</f>
        <v>0</v>
      </c>
      <c r="O643" s="6">
        <f>IF(Tabela5[[#This Row],[Dim_Cenario'[Nome Cenario']]]=Tabela5[[#Headers],[Revisado]],Tabela5[[#This Row],['[Valores_cenario']]],0)</f>
        <v>0</v>
      </c>
      <c r="P643" s="6">
        <f>IF(Tabela5[[#This Row],[Dim_Cenario'[Nome Cenario']]]=Tabela5[[#Headers],[Realizado]],Tabela5[[#This Row],['[Valores_cenario']]],0)</f>
        <v>1296.2</v>
      </c>
    </row>
    <row r="644" hidden="1" spans="1:16">
      <c r="A644" t="s">
        <v>17</v>
      </c>
      <c r="B644" t="s">
        <v>18</v>
      </c>
      <c r="C644" t="s">
        <v>19</v>
      </c>
      <c r="D644" t="s">
        <v>15</v>
      </c>
      <c r="E644">
        <v>2021</v>
      </c>
      <c r="F644" t="s">
        <v>27</v>
      </c>
      <c r="G644" t="s">
        <v>28</v>
      </c>
      <c r="H644">
        <v>4</v>
      </c>
      <c r="I644">
        <v>44100</v>
      </c>
      <c r="J644" t="s">
        <v>36</v>
      </c>
      <c r="K644" s="3">
        <v>44315</v>
      </c>
      <c r="L644" t="s">
        <v>354</v>
      </c>
      <c r="M644" t="s">
        <v>373</v>
      </c>
      <c r="N644" s="6">
        <f>IF(Tabela5[[#This Row],[Dim_Cenario'[Nome Cenario']]]=Tabela5[[#Headers],[INIC Atual]],Tabela5[[#This Row],['[Valores_cenario']]],0)</f>
        <v>0</v>
      </c>
      <c r="O644" s="6">
        <f>IF(Tabela5[[#This Row],[Dim_Cenario'[Nome Cenario']]]=Tabela5[[#Headers],[Revisado]],Tabela5[[#This Row],['[Valores_cenario']]],0)</f>
        <v>0</v>
      </c>
      <c r="P644" s="6">
        <f>IF(Tabela5[[#This Row],[Dim_Cenario'[Nome Cenario']]]=Tabela5[[#Headers],[Realizado]],Tabela5[[#This Row],['[Valores_cenario']]],0)</f>
        <v>44100</v>
      </c>
    </row>
    <row r="645" spans="1:16">
      <c r="A645" t="s">
        <v>17</v>
      </c>
      <c r="B645" t="s">
        <v>18</v>
      </c>
      <c r="C645" t="s">
        <v>37</v>
      </c>
      <c r="D645" t="s">
        <v>15</v>
      </c>
      <c r="E645">
        <v>2019</v>
      </c>
      <c r="F645" t="s">
        <v>27</v>
      </c>
      <c r="G645" t="s">
        <v>29</v>
      </c>
      <c r="H645">
        <v>6</v>
      </c>
      <c r="I645">
        <v>1296.2</v>
      </c>
      <c r="J645" t="s">
        <v>36</v>
      </c>
      <c r="K645" s="3">
        <v>43627</v>
      </c>
      <c r="L645" t="s">
        <v>48</v>
      </c>
      <c r="M645" t="s">
        <v>374</v>
      </c>
      <c r="N645" s="6">
        <f>IF(Tabela5[[#This Row],[Dim_Cenario'[Nome Cenario']]]=Tabela5[[#Headers],[INIC Atual]],Tabela5[[#This Row],['[Valores_cenario']]],0)</f>
        <v>0</v>
      </c>
      <c r="O645" s="6">
        <f>IF(Tabela5[[#This Row],[Dim_Cenario'[Nome Cenario']]]=Tabela5[[#Headers],[Revisado]],Tabela5[[#This Row],['[Valores_cenario']]],0)</f>
        <v>0</v>
      </c>
      <c r="P645" s="6">
        <f>IF(Tabela5[[#This Row],[Dim_Cenario'[Nome Cenario']]]=Tabela5[[#Headers],[Realizado]],Tabela5[[#This Row],['[Valores_cenario']]],0)</f>
        <v>1296.2</v>
      </c>
    </row>
    <row r="646" spans="1:16">
      <c r="A646" t="s">
        <v>17</v>
      </c>
      <c r="B646" t="s">
        <v>18</v>
      </c>
      <c r="C646" t="s">
        <v>37</v>
      </c>
      <c r="D646" t="s">
        <v>15</v>
      </c>
      <c r="E646">
        <v>2024</v>
      </c>
      <c r="F646" t="s">
        <v>27</v>
      </c>
      <c r="G646" t="s">
        <v>29</v>
      </c>
      <c r="H646">
        <v>6</v>
      </c>
      <c r="I646">
        <v>1201.2</v>
      </c>
      <c r="J646" t="s">
        <v>23</v>
      </c>
      <c r="K646" s="3">
        <v>45461</v>
      </c>
      <c r="L646" t="s">
        <v>375</v>
      </c>
      <c r="M646" t="s">
        <v>376</v>
      </c>
      <c r="N646" s="6">
        <f>IF(Tabela5[[#This Row],[Dim_Cenario'[Nome Cenario']]]=Tabela5[[#Headers],[INIC Atual]],Tabela5[[#This Row],['[Valores_cenario']]],0)</f>
        <v>0</v>
      </c>
      <c r="O646" s="6">
        <f>IF(Tabela5[[#This Row],[Dim_Cenario'[Nome Cenario']]]=Tabela5[[#Headers],[Revisado]],Tabela5[[#This Row],['[Valores_cenario']]],0)</f>
        <v>0</v>
      </c>
      <c r="P646" s="6">
        <f>IF(Tabela5[[#This Row],[Dim_Cenario'[Nome Cenario']]]=Tabela5[[#Headers],[Realizado]],Tabela5[[#This Row],['[Valores_cenario']]],0)</f>
        <v>1201.2</v>
      </c>
    </row>
    <row r="647" hidden="1" spans="1:16">
      <c r="A647" t="s">
        <v>17</v>
      </c>
      <c r="B647" t="s">
        <v>18</v>
      </c>
      <c r="C647" t="s">
        <v>37</v>
      </c>
      <c r="D647" t="s">
        <v>15</v>
      </c>
      <c r="E647">
        <v>2023</v>
      </c>
      <c r="F647" t="s">
        <v>30</v>
      </c>
      <c r="G647" t="s">
        <v>40</v>
      </c>
      <c r="H647">
        <v>7</v>
      </c>
      <c r="I647">
        <v>24000</v>
      </c>
      <c r="J647" t="s">
        <v>23</v>
      </c>
      <c r="K647" s="3">
        <v>45127</v>
      </c>
      <c r="L647" t="s">
        <v>46</v>
      </c>
      <c r="M647" t="s">
        <v>377</v>
      </c>
      <c r="N647" s="6">
        <f>IF(Tabela5[[#This Row],[Dim_Cenario'[Nome Cenario']]]=Tabela5[[#Headers],[INIC Atual]],Tabela5[[#This Row],['[Valores_cenario']]],0)</f>
        <v>0</v>
      </c>
      <c r="O647" s="6">
        <f>IF(Tabela5[[#This Row],[Dim_Cenario'[Nome Cenario']]]=Tabela5[[#Headers],[Revisado]],Tabela5[[#This Row],['[Valores_cenario']]],0)</f>
        <v>0</v>
      </c>
      <c r="P647" s="6">
        <f>IF(Tabela5[[#This Row],[Dim_Cenario'[Nome Cenario']]]=Tabela5[[#Headers],[Realizado]],Tabela5[[#This Row],['[Valores_cenario']]],0)</f>
        <v>24000</v>
      </c>
    </row>
    <row r="648" hidden="1" spans="1:16">
      <c r="A648" t="s">
        <v>17</v>
      </c>
      <c r="B648" t="s">
        <v>18</v>
      </c>
      <c r="C648" t="s">
        <v>37</v>
      </c>
      <c r="D648" t="s">
        <v>15</v>
      </c>
      <c r="E648">
        <v>2023</v>
      </c>
      <c r="F648" t="s">
        <v>30</v>
      </c>
      <c r="G648" t="s">
        <v>41</v>
      </c>
      <c r="H648">
        <v>9</v>
      </c>
      <c r="I648">
        <v>60926.22</v>
      </c>
      <c r="J648" t="s">
        <v>23</v>
      </c>
      <c r="K648" s="3">
        <v>45175</v>
      </c>
      <c r="L648" t="s">
        <v>378</v>
      </c>
      <c r="M648" t="s">
        <v>379</v>
      </c>
      <c r="N648" s="6">
        <f>IF(Tabela5[[#This Row],[Dim_Cenario'[Nome Cenario']]]=Tabela5[[#Headers],[INIC Atual]],Tabela5[[#This Row],['[Valores_cenario']]],0)</f>
        <v>0</v>
      </c>
      <c r="O648" s="6">
        <f>IF(Tabela5[[#This Row],[Dim_Cenario'[Nome Cenario']]]=Tabela5[[#Headers],[Revisado]],Tabela5[[#This Row],['[Valores_cenario']]],0)</f>
        <v>0</v>
      </c>
      <c r="P648" s="6">
        <f>IF(Tabela5[[#This Row],[Dim_Cenario'[Nome Cenario']]]=Tabela5[[#Headers],[Realizado]],Tabela5[[#This Row],['[Valores_cenario']]],0)</f>
        <v>60926.22</v>
      </c>
    </row>
    <row r="649" hidden="1" spans="1:16">
      <c r="A649" t="s">
        <v>17</v>
      </c>
      <c r="B649" t="s">
        <v>18</v>
      </c>
      <c r="C649" t="s">
        <v>96</v>
      </c>
      <c r="D649" t="s">
        <v>15</v>
      </c>
      <c r="E649">
        <v>2021</v>
      </c>
      <c r="F649" t="s">
        <v>27</v>
      </c>
      <c r="G649" t="s">
        <v>29</v>
      </c>
      <c r="H649">
        <v>6</v>
      </c>
      <c r="I649">
        <v>26675</v>
      </c>
      <c r="J649" t="s">
        <v>36</v>
      </c>
      <c r="K649" s="3">
        <v>44375</v>
      </c>
      <c r="L649" t="s">
        <v>363</v>
      </c>
      <c r="M649" t="s">
        <v>380</v>
      </c>
      <c r="N649" s="6">
        <f>IF(Tabela5[[#This Row],[Dim_Cenario'[Nome Cenario']]]=Tabela5[[#Headers],[INIC Atual]],Tabela5[[#This Row],['[Valores_cenario']]],0)</f>
        <v>0</v>
      </c>
      <c r="O649" s="6">
        <f>IF(Tabela5[[#This Row],[Dim_Cenario'[Nome Cenario']]]=Tabela5[[#Headers],[Revisado]],Tabela5[[#This Row],['[Valores_cenario']]],0)</f>
        <v>0</v>
      </c>
      <c r="P649" s="6">
        <f>IF(Tabela5[[#This Row],[Dim_Cenario'[Nome Cenario']]]=Tabela5[[#Headers],[Realizado]],Tabela5[[#This Row],['[Valores_cenario']]],0)</f>
        <v>26675</v>
      </c>
    </row>
    <row r="650" spans="1:16">
      <c r="A650" t="s">
        <v>17</v>
      </c>
      <c r="B650" t="s">
        <v>18</v>
      </c>
      <c r="C650" t="s">
        <v>37</v>
      </c>
      <c r="D650" t="s">
        <v>15</v>
      </c>
      <c r="E650">
        <v>2023</v>
      </c>
      <c r="F650" t="s">
        <v>21</v>
      </c>
      <c r="G650" t="s">
        <v>24</v>
      </c>
      <c r="H650">
        <v>11</v>
      </c>
      <c r="I650">
        <v>1200</v>
      </c>
      <c r="J650" t="s">
        <v>23</v>
      </c>
      <c r="K650" s="3">
        <v>45246</v>
      </c>
      <c r="L650" t="s">
        <v>381</v>
      </c>
      <c r="M650" t="s">
        <v>382</v>
      </c>
      <c r="N650" s="6">
        <f>IF(Tabela5[[#This Row],[Dim_Cenario'[Nome Cenario']]]=Tabela5[[#Headers],[INIC Atual]],Tabela5[[#This Row],['[Valores_cenario']]],0)</f>
        <v>0</v>
      </c>
      <c r="O650" s="6">
        <f>IF(Tabela5[[#This Row],[Dim_Cenario'[Nome Cenario']]]=Tabela5[[#Headers],[Revisado]],Tabela5[[#This Row],['[Valores_cenario']]],0)</f>
        <v>0</v>
      </c>
      <c r="P650" s="6">
        <f>IF(Tabela5[[#This Row],[Dim_Cenario'[Nome Cenario']]]=Tabela5[[#Headers],[Realizado]],Tabela5[[#This Row],['[Valores_cenario']]],0)</f>
        <v>1200</v>
      </c>
    </row>
    <row r="651" spans="1:16">
      <c r="A651" t="s">
        <v>17</v>
      </c>
      <c r="B651" t="s">
        <v>18</v>
      </c>
      <c r="C651" t="s">
        <v>37</v>
      </c>
      <c r="D651" t="s">
        <v>15</v>
      </c>
      <c r="E651">
        <v>2024</v>
      </c>
      <c r="F651" t="s">
        <v>27</v>
      </c>
      <c r="G651" t="s">
        <v>28</v>
      </c>
      <c r="H651">
        <v>4</v>
      </c>
      <c r="I651">
        <v>1200</v>
      </c>
      <c r="J651" t="s">
        <v>23</v>
      </c>
      <c r="K651" s="3">
        <v>45383</v>
      </c>
      <c r="L651" t="s">
        <v>381</v>
      </c>
      <c r="M651" t="s">
        <v>383</v>
      </c>
      <c r="N651" s="6">
        <f>IF(Tabela5[[#This Row],[Dim_Cenario'[Nome Cenario']]]=Tabela5[[#Headers],[INIC Atual]],Tabela5[[#This Row],['[Valores_cenario']]],0)</f>
        <v>0</v>
      </c>
      <c r="O651" s="6">
        <f>IF(Tabela5[[#This Row],[Dim_Cenario'[Nome Cenario']]]=Tabela5[[#Headers],[Revisado]],Tabela5[[#This Row],['[Valores_cenario']]],0)</f>
        <v>0</v>
      </c>
      <c r="P651" s="6">
        <f>IF(Tabela5[[#This Row],[Dim_Cenario'[Nome Cenario']]]=Tabela5[[#Headers],[Realizado]],Tabela5[[#This Row],['[Valores_cenario']]],0)</f>
        <v>1200</v>
      </c>
    </row>
    <row r="652" hidden="1" spans="1:16">
      <c r="A652" t="s">
        <v>17</v>
      </c>
      <c r="B652" t="s">
        <v>18</v>
      </c>
      <c r="C652" t="s">
        <v>96</v>
      </c>
      <c r="D652" t="s">
        <v>15</v>
      </c>
      <c r="E652">
        <v>2021</v>
      </c>
      <c r="F652" t="s">
        <v>30</v>
      </c>
      <c r="G652" t="s">
        <v>40</v>
      </c>
      <c r="H652">
        <v>7</v>
      </c>
      <c r="I652">
        <v>26675</v>
      </c>
      <c r="J652" t="s">
        <v>36</v>
      </c>
      <c r="K652" s="3">
        <v>44384</v>
      </c>
      <c r="L652" t="s">
        <v>363</v>
      </c>
      <c r="M652" t="s">
        <v>384</v>
      </c>
      <c r="N652" s="6">
        <f>IF(Tabela5[[#This Row],[Dim_Cenario'[Nome Cenario']]]=Tabela5[[#Headers],[INIC Atual]],Tabela5[[#This Row],['[Valores_cenario']]],0)</f>
        <v>0</v>
      </c>
      <c r="O652" s="6">
        <f>IF(Tabela5[[#This Row],[Dim_Cenario'[Nome Cenario']]]=Tabela5[[#Headers],[Revisado]],Tabela5[[#This Row],['[Valores_cenario']]],0)</f>
        <v>0</v>
      </c>
      <c r="P652" s="6">
        <f>IF(Tabela5[[#This Row],[Dim_Cenario'[Nome Cenario']]]=Tabela5[[#Headers],[Realizado]],Tabela5[[#This Row],['[Valores_cenario']]],0)</f>
        <v>26675</v>
      </c>
    </row>
    <row r="653" hidden="1" spans="1:16">
      <c r="A653" t="s">
        <v>97</v>
      </c>
      <c r="B653" t="s">
        <v>18</v>
      </c>
      <c r="C653" t="s">
        <v>98</v>
      </c>
      <c r="D653" t="s">
        <v>15</v>
      </c>
      <c r="E653">
        <v>2021</v>
      </c>
      <c r="F653" t="s">
        <v>30</v>
      </c>
      <c r="G653" t="s">
        <v>40</v>
      </c>
      <c r="H653">
        <v>7</v>
      </c>
      <c r="I653">
        <v>62710</v>
      </c>
      <c r="J653" t="s">
        <v>36</v>
      </c>
      <c r="K653" s="3">
        <v>44390</v>
      </c>
      <c r="L653" t="s">
        <v>385</v>
      </c>
      <c r="M653" t="s">
        <v>386</v>
      </c>
      <c r="N653" s="6">
        <f>IF(Tabela5[[#This Row],[Dim_Cenario'[Nome Cenario']]]=Tabela5[[#Headers],[INIC Atual]],Tabela5[[#This Row],['[Valores_cenario']]],0)</f>
        <v>0</v>
      </c>
      <c r="O653" s="6">
        <f>IF(Tabela5[[#This Row],[Dim_Cenario'[Nome Cenario']]]=Tabela5[[#Headers],[Revisado]],Tabela5[[#This Row],['[Valores_cenario']]],0)</f>
        <v>0</v>
      </c>
      <c r="P653" s="6">
        <f>IF(Tabela5[[#This Row],[Dim_Cenario'[Nome Cenario']]]=Tabela5[[#Headers],[Realizado]],Tabela5[[#This Row],['[Valores_cenario']]],0)</f>
        <v>62710</v>
      </c>
    </row>
    <row r="654" spans="1:16">
      <c r="A654" t="s">
        <v>17</v>
      </c>
      <c r="B654" t="s">
        <v>18</v>
      </c>
      <c r="C654" t="s">
        <v>37</v>
      </c>
      <c r="D654" t="s">
        <v>15</v>
      </c>
      <c r="E654">
        <v>2024</v>
      </c>
      <c r="F654" t="s">
        <v>27</v>
      </c>
      <c r="G654" t="s">
        <v>28</v>
      </c>
      <c r="H654">
        <v>4</v>
      </c>
      <c r="I654">
        <v>1200</v>
      </c>
      <c r="J654" t="s">
        <v>23</v>
      </c>
      <c r="K654" s="3">
        <v>45383</v>
      </c>
      <c r="L654" t="s">
        <v>381</v>
      </c>
      <c r="M654" t="s">
        <v>387</v>
      </c>
      <c r="N654" s="6">
        <f>IF(Tabela5[[#This Row],[Dim_Cenario'[Nome Cenario']]]=Tabela5[[#Headers],[INIC Atual]],Tabela5[[#This Row],['[Valores_cenario']]],0)</f>
        <v>0</v>
      </c>
      <c r="O654" s="6">
        <f>IF(Tabela5[[#This Row],[Dim_Cenario'[Nome Cenario']]]=Tabela5[[#Headers],[Revisado]],Tabela5[[#This Row],['[Valores_cenario']]],0)</f>
        <v>0</v>
      </c>
      <c r="P654" s="6">
        <f>IF(Tabela5[[#This Row],[Dim_Cenario'[Nome Cenario']]]=Tabela5[[#Headers],[Realizado]],Tabela5[[#This Row],['[Valores_cenario']]],0)</f>
        <v>1200</v>
      </c>
    </row>
    <row r="655" spans="1:16">
      <c r="A655" t="s">
        <v>17</v>
      </c>
      <c r="B655" t="s">
        <v>18</v>
      </c>
      <c r="C655" t="s">
        <v>37</v>
      </c>
      <c r="D655" t="s">
        <v>15</v>
      </c>
      <c r="E655">
        <v>2024</v>
      </c>
      <c r="F655" t="s">
        <v>27</v>
      </c>
      <c r="G655" t="s">
        <v>28</v>
      </c>
      <c r="H655">
        <v>4</v>
      </c>
      <c r="I655">
        <v>1200</v>
      </c>
      <c r="J655" t="s">
        <v>23</v>
      </c>
      <c r="K655" s="3">
        <v>45383</v>
      </c>
      <c r="L655" t="s">
        <v>381</v>
      </c>
      <c r="M655" t="s">
        <v>388</v>
      </c>
      <c r="N655" s="6">
        <f>IF(Tabela5[[#This Row],[Dim_Cenario'[Nome Cenario']]]=Tabela5[[#Headers],[INIC Atual]],Tabela5[[#This Row],['[Valores_cenario']]],0)</f>
        <v>0</v>
      </c>
      <c r="O655" s="6">
        <f>IF(Tabela5[[#This Row],[Dim_Cenario'[Nome Cenario']]]=Tabela5[[#Headers],[Revisado]],Tabela5[[#This Row],['[Valores_cenario']]],0)</f>
        <v>0</v>
      </c>
      <c r="P655" s="6">
        <f>IF(Tabela5[[#This Row],[Dim_Cenario'[Nome Cenario']]]=Tabela5[[#Headers],[Realizado]],Tabela5[[#This Row],['[Valores_cenario']]],0)</f>
        <v>1200</v>
      </c>
    </row>
    <row r="656" hidden="1" spans="1:16">
      <c r="A656" t="s">
        <v>17</v>
      </c>
      <c r="B656" t="s">
        <v>18</v>
      </c>
      <c r="C656" t="s">
        <v>19</v>
      </c>
      <c r="D656" t="s">
        <v>15</v>
      </c>
      <c r="E656">
        <v>2021</v>
      </c>
      <c r="F656" t="s">
        <v>30</v>
      </c>
      <c r="G656" t="s">
        <v>40</v>
      </c>
      <c r="H656">
        <v>7</v>
      </c>
      <c r="I656">
        <v>23000</v>
      </c>
      <c r="J656" t="s">
        <v>36</v>
      </c>
      <c r="K656" s="3">
        <v>44405</v>
      </c>
      <c r="L656" t="s">
        <v>354</v>
      </c>
      <c r="M656" t="s">
        <v>389</v>
      </c>
      <c r="N656" s="6">
        <f>IF(Tabela5[[#This Row],[Dim_Cenario'[Nome Cenario']]]=Tabela5[[#Headers],[INIC Atual]],Tabela5[[#This Row],['[Valores_cenario']]],0)</f>
        <v>0</v>
      </c>
      <c r="O656" s="6">
        <f>IF(Tabela5[[#This Row],[Dim_Cenario'[Nome Cenario']]]=Tabela5[[#Headers],[Revisado]],Tabela5[[#This Row],['[Valores_cenario']]],0)</f>
        <v>0</v>
      </c>
      <c r="P656" s="6">
        <f>IF(Tabela5[[#This Row],[Dim_Cenario'[Nome Cenario']]]=Tabela5[[#Headers],[Realizado]],Tabela5[[#This Row],['[Valores_cenario']]],0)</f>
        <v>23000</v>
      </c>
    </row>
    <row r="657" spans="1:16">
      <c r="A657" t="s">
        <v>17</v>
      </c>
      <c r="B657" t="s">
        <v>18</v>
      </c>
      <c r="C657" t="s">
        <v>37</v>
      </c>
      <c r="D657" t="s">
        <v>15</v>
      </c>
      <c r="E657">
        <v>2024</v>
      </c>
      <c r="F657" t="s">
        <v>27</v>
      </c>
      <c r="G657" t="s">
        <v>28</v>
      </c>
      <c r="H657">
        <v>4</v>
      </c>
      <c r="I657">
        <v>1200</v>
      </c>
      <c r="J657" t="s">
        <v>23</v>
      </c>
      <c r="K657" s="3">
        <v>45383</v>
      </c>
      <c r="L657" t="s">
        <v>381</v>
      </c>
      <c r="M657" t="s">
        <v>390</v>
      </c>
      <c r="N657" s="6">
        <f>IF(Tabela5[[#This Row],[Dim_Cenario'[Nome Cenario']]]=Tabela5[[#Headers],[INIC Atual]],Tabela5[[#This Row],['[Valores_cenario']]],0)</f>
        <v>0</v>
      </c>
      <c r="O657" s="6">
        <f>IF(Tabela5[[#This Row],[Dim_Cenario'[Nome Cenario']]]=Tabela5[[#Headers],[Revisado]],Tabela5[[#This Row],['[Valores_cenario']]],0)</f>
        <v>0</v>
      </c>
      <c r="P657" s="6">
        <f>IF(Tabela5[[#This Row],[Dim_Cenario'[Nome Cenario']]]=Tabela5[[#Headers],[Realizado]],Tabela5[[#This Row],['[Valores_cenario']]],0)</f>
        <v>1200</v>
      </c>
    </row>
    <row r="658" hidden="1" spans="1:16">
      <c r="A658" t="s">
        <v>97</v>
      </c>
      <c r="B658" t="s">
        <v>18</v>
      </c>
      <c r="C658" t="s">
        <v>98</v>
      </c>
      <c r="D658" t="s">
        <v>15</v>
      </c>
      <c r="E658">
        <v>2021</v>
      </c>
      <c r="F658" t="s">
        <v>30</v>
      </c>
      <c r="G658" t="s">
        <v>40</v>
      </c>
      <c r="H658">
        <v>7</v>
      </c>
      <c r="I658">
        <v>39285</v>
      </c>
      <c r="J658" t="s">
        <v>36</v>
      </c>
      <c r="K658" s="3">
        <v>44407</v>
      </c>
      <c r="L658" t="s">
        <v>385</v>
      </c>
      <c r="M658" t="s">
        <v>391</v>
      </c>
      <c r="N658" s="6">
        <f>IF(Tabela5[[#This Row],[Dim_Cenario'[Nome Cenario']]]=Tabela5[[#Headers],[INIC Atual]],Tabela5[[#This Row],['[Valores_cenario']]],0)</f>
        <v>0</v>
      </c>
      <c r="O658" s="6">
        <f>IF(Tabela5[[#This Row],[Dim_Cenario'[Nome Cenario']]]=Tabela5[[#Headers],[Revisado]],Tabela5[[#This Row],['[Valores_cenario']]],0)</f>
        <v>0</v>
      </c>
      <c r="P658" s="6">
        <f>IF(Tabela5[[#This Row],[Dim_Cenario'[Nome Cenario']]]=Tabela5[[#Headers],[Realizado]],Tabela5[[#This Row],['[Valores_cenario']]],0)</f>
        <v>39285</v>
      </c>
    </row>
    <row r="659" hidden="1" spans="1:16">
      <c r="A659" t="s">
        <v>17</v>
      </c>
      <c r="B659" t="s">
        <v>18</v>
      </c>
      <c r="C659" t="s">
        <v>96</v>
      </c>
      <c r="D659" t="s">
        <v>15</v>
      </c>
      <c r="E659">
        <v>2021</v>
      </c>
      <c r="F659" t="s">
        <v>30</v>
      </c>
      <c r="G659" t="s">
        <v>31</v>
      </c>
      <c r="H659">
        <v>8</v>
      </c>
      <c r="I659">
        <v>26675</v>
      </c>
      <c r="J659" t="s">
        <v>36</v>
      </c>
      <c r="K659" s="3">
        <v>44417</v>
      </c>
      <c r="L659" t="s">
        <v>363</v>
      </c>
      <c r="M659" t="s">
        <v>392</v>
      </c>
      <c r="N659" s="6">
        <f>IF(Tabela5[[#This Row],[Dim_Cenario'[Nome Cenario']]]=Tabela5[[#Headers],[INIC Atual]],Tabela5[[#This Row],['[Valores_cenario']]],0)</f>
        <v>0</v>
      </c>
      <c r="O659" s="6">
        <f>IF(Tabela5[[#This Row],[Dim_Cenario'[Nome Cenario']]]=Tabela5[[#Headers],[Revisado]],Tabela5[[#This Row],['[Valores_cenario']]],0)</f>
        <v>0</v>
      </c>
      <c r="P659" s="6">
        <f>IF(Tabela5[[#This Row],[Dim_Cenario'[Nome Cenario']]]=Tabela5[[#Headers],[Realizado]],Tabela5[[#This Row],['[Valores_cenario']]],0)</f>
        <v>26675</v>
      </c>
    </row>
    <row r="660" spans="1:16">
      <c r="A660" t="s">
        <v>17</v>
      </c>
      <c r="B660" t="s">
        <v>18</v>
      </c>
      <c r="C660" t="s">
        <v>37</v>
      </c>
      <c r="D660" t="s">
        <v>15</v>
      </c>
      <c r="E660">
        <v>2022</v>
      </c>
      <c r="F660" t="s">
        <v>30</v>
      </c>
      <c r="G660" t="s">
        <v>41</v>
      </c>
      <c r="H660">
        <v>9</v>
      </c>
      <c r="I660">
        <v>1196</v>
      </c>
      <c r="J660" t="s">
        <v>23</v>
      </c>
      <c r="K660" s="3">
        <v>44833</v>
      </c>
      <c r="L660" t="s">
        <v>393</v>
      </c>
      <c r="M660" t="s">
        <v>394</v>
      </c>
      <c r="N660" s="6">
        <f>IF(Tabela5[[#This Row],[Dim_Cenario'[Nome Cenario']]]=Tabela5[[#Headers],[INIC Atual]],Tabela5[[#This Row],['[Valores_cenario']]],0)</f>
        <v>0</v>
      </c>
      <c r="O660" s="6">
        <f>IF(Tabela5[[#This Row],[Dim_Cenario'[Nome Cenario']]]=Tabela5[[#Headers],[Revisado]],Tabela5[[#This Row],['[Valores_cenario']]],0)</f>
        <v>0</v>
      </c>
      <c r="P660" s="6">
        <f>IF(Tabela5[[#This Row],[Dim_Cenario'[Nome Cenario']]]=Tabela5[[#Headers],[Realizado]],Tabela5[[#This Row],['[Valores_cenario']]],0)</f>
        <v>1196</v>
      </c>
    </row>
    <row r="661" hidden="1" spans="1:16">
      <c r="A661" t="s">
        <v>17</v>
      </c>
      <c r="B661" t="s">
        <v>92</v>
      </c>
      <c r="C661" t="s">
        <v>37</v>
      </c>
      <c r="D661" t="s">
        <v>15</v>
      </c>
      <c r="E661">
        <v>2023</v>
      </c>
      <c r="F661" t="s">
        <v>21</v>
      </c>
      <c r="G661" t="s">
        <v>22</v>
      </c>
      <c r="H661">
        <v>10</v>
      </c>
      <c r="I661">
        <v>21983.45</v>
      </c>
      <c r="J661" t="s">
        <v>23</v>
      </c>
      <c r="K661" s="3">
        <v>45230</v>
      </c>
      <c r="M661" t="s">
        <v>395</v>
      </c>
      <c r="N661" s="6">
        <f>IF(Tabela5[[#This Row],[Dim_Cenario'[Nome Cenario']]]=Tabela5[[#Headers],[INIC Atual]],Tabela5[[#This Row],['[Valores_cenario']]],0)</f>
        <v>0</v>
      </c>
      <c r="O661" s="6">
        <f>IF(Tabela5[[#This Row],[Dim_Cenario'[Nome Cenario']]]=Tabela5[[#Headers],[Revisado]],Tabela5[[#This Row],['[Valores_cenario']]],0)</f>
        <v>0</v>
      </c>
      <c r="P661" s="6">
        <f>IF(Tabela5[[#This Row],[Dim_Cenario'[Nome Cenario']]]=Tabela5[[#Headers],[Realizado]],Tabela5[[#This Row],['[Valores_cenario']]],0)</f>
        <v>21983.45</v>
      </c>
    </row>
    <row r="662" spans="1:16">
      <c r="A662" t="s">
        <v>17</v>
      </c>
      <c r="B662" t="s">
        <v>18</v>
      </c>
      <c r="C662" t="s">
        <v>37</v>
      </c>
      <c r="D662" t="s">
        <v>15</v>
      </c>
      <c r="E662">
        <v>2021</v>
      </c>
      <c r="F662" t="s">
        <v>30</v>
      </c>
      <c r="G662" t="s">
        <v>31</v>
      </c>
      <c r="H662">
        <v>8</v>
      </c>
      <c r="I662">
        <v>1100.8</v>
      </c>
      <c r="J662" t="s">
        <v>36</v>
      </c>
      <c r="K662" s="3">
        <v>44428</v>
      </c>
      <c r="L662" t="s">
        <v>396</v>
      </c>
      <c r="M662" t="s">
        <v>397</v>
      </c>
      <c r="N662" s="6">
        <f>IF(Tabela5[[#This Row],[Dim_Cenario'[Nome Cenario']]]=Tabela5[[#Headers],[INIC Atual]],Tabela5[[#This Row],['[Valores_cenario']]],0)</f>
        <v>0</v>
      </c>
      <c r="O662" s="6">
        <f>IF(Tabela5[[#This Row],[Dim_Cenario'[Nome Cenario']]]=Tabela5[[#Headers],[Revisado]],Tabela5[[#This Row],['[Valores_cenario']]],0)</f>
        <v>0</v>
      </c>
      <c r="P662" s="6">
        <f>IF(Tabela5[[#This Row],[Dim_Cenario'[Nome Cenario']]]=Tabela5[[#Headers],[Realizado]],Tabela5[[#This Row],['[Valores_cenario']]],0)</f>
        <v>1100.8</v>
      </c>
    </row>
    <row r="663" spans="1:16">
      <c r="A663" t="s">
        <v>17</v>
      </c>
      <c r="B663" t="s">
        <v>18</v>
      </c>
      <c r="C663" t="s">
        <v>37</v>
      </c>
      <c r="D663" t="s">
        <v>15</v>
      </c>
      <c r="E663">
        <v>2023</v>
      </c>
      <c r="F663" t="s">
        <v>25</v>
      </c>
      <c r="G663" t="s">
        <v>38</v>
      </c>
      <c r="H663">
        <v>3</v>
      </c>
      <c r="I663">
        <v>1100</v>
      </c>
      <c r="J663" t="s">
        <v>23</v>
      </c>
      <c r="K663" s="3">
        <v>44993</v>
      </c>
      <c r="L663" t="s">
        <v>398</v>
      </c>
      <c r="M663" t="s">
        <v>399</v>
      </c>
      <c r="N663" s="6">
        <f>IF(Tabela5[[#This Row],[Dim_Cenario'[Nome Cenario']]]=Tabela5[[#Headers],[INIC Atual]],Tabela5[[#This Row],['[Valores_cenario']]],0)</f>
        <v>0</v>
      </c>
      <c r="O663" s="6">
        <f>IF(Tabela5[[#This Row],[Dim_Cenario'[Nome Cenario']]]=Tabela5[[#Headers],[Revisado]],Tabela5[[#This Row],['[Valores_cenario']]],0)</f>
        <v>0</v>
      </c>
      <c r="P663" s="6">
        <f>IF(Tabela5[[#This Row],[Dim_Cenario'[Nome Cenario']]]=Tabela5[[#Headers],[Realizado]],Tabela5[[#This Row],['[Valores_cenario']]],0)</f>
        <v>1100</v>
      </c>
    </row>
    <row r="664" hidden="1" spans="1:16">
      <c r="A664" t="s">
        <v>97</v>
      </c>
      <c r="B664" t="s">
        <v>18</v>
      </c>
      <c r="C664" t="s">
        <v>98</v>
      </c>
      <c r="D664" t="s">
        <v>15</v>
      </c>
      <c r="E664">
        <v>2021</v>
      </c>
      <c r="F664" t="s">
        <v>30</v>
      </c>
      <c r="G664" t="s">
        <v>31</v>
      </c>
      <c r="H664">
        <v>8</v>
      </c>
      <c r="I664">
        <v>4365</v>
      </c>
      <c r="J664" t="s">
        <v>36</v>
      </c>
      <c r="K664" s="3">
        <v>44439</v>
      </c>
      <c r="L664" t="s">
        <v>385</v>
      </c>
      <c r="M664" t="s">
        <v>400</v>
      </c>
      <c r="N664" s="6">
        <f>IF(Tabela5[[#This Row],[Dim_Cenario'[Nome Cenario']]]=Tabela5[[#Headers],[INIC Atual]],Tabela5[[#This Row],['[Valores_cenario']]],0)</f>
        <v>0</v>
      </c>
      <c r="O664" s="6">
        <f>IF(Tabela5[[#This Row],[Dim_Cenario'[Nome Cenario']]]=Tabela5[[#Headers],[Revisado]],Tabela5[[#This Row],['[Valores_cenario']]],0)</f>
        <v>0</v>
      </c>
      <c r="P664" s="6">
        <f>IF(Tabela5[[#This Row],[Dim_Cenario'[Nome Cenario']]]=Tabela5[[#Headers],[Realizado]],Tabela5[[#This Row],['[Valores_cenario']]],0)</f>
        <v>4365</v>
      </c>
    </row>
    <row r="665" hidden="1" spans="1:16">
      <c r="A665" t="s">
        <v>17</v>
      </c>
      <c r="B665" t="s">
        <v>18</v>
      </c>
      <c r="C665" t="s">
        <v>96</v>
      </c>
      <c r="D665" t="s">
        <v>15</v>
      </c>
      <c r="E665">
        <v>2021</v>
      </c>
      <c r="F665" t="s">
        <v>30</v>
      </c>
      <c r="G665" t="s">
        <v>41</v>
      </c>
      <c r="H665">
        <v>9</v>
      </c>
      <c r="I665">
        <v>26675</v>
      </c>
      <c r="J665" t="s">
        <v>36</v>
      </c>
      <c r="K665" s="3">
        <v>44453</v>
      </c>
      <c r="L665" t="s">
        <v>363</v>
      </c>
      <c r="M665" t="s">
        <v>401</v>
      </c>
      <c r="N665" s="6">
        <f>IF(Tabela5[[#This Row],[Dim_Cenario'[Nome Cenario']]]=Tabela5[[#Headers],[INIC Atual]],Tabela5[[#This Row],['[Valores_cenario']]],0)</f>
        <v>0</v>
      </c>
      <c r="O665" s="6">
        <f>IF(Tabela5[[#This Row],[Dim_Cenario'[Nome Cenario']]]=Tabela5[[#Headers],[Revisado]],Tabela5[[#This Row],['[Valores_cenario']]],0)</f>
        <v>0</v>
      </c>
      <c r="P665" s="6">
        <f>IF(Tabela5[[#This Row],[Dim_Cenario'[Nome Cenario']]]=Tabela5[[#Headers],[Realizado]],Tabela5[[#This Row],['[Valores_cenario']]],0)</f>
        <v>26675</v>
      </c>
    </row>
    <row r="666" hidden="1" spans="1:16">
      <c r="A666" t="s">
        <v>17</v>
      </c>
      <c r="B666" t="s">
        <v>18</v>
      </c>
      <c r="C666" t="s">
        <v>37</v>
      </c>
      <c r="D666" t="s">
        <v>20</v>
      </c>
      <c r="E666">
        <v>2024</v>
      </c>
      <c r="F666" t="s">
        <v>25</v>
      </c>
      <c r="G666" t="s">
        <v>35</v>
      </c>
      <c r="H666">
        <v>1</v>
      </c>
      <c r="I666">
        <v>31194.973</v>
      </c>
      <c r="J666" t="s">
        <v>23</v>
      </c>
      <c r="K666" s="3"/>
      <c r="N666" s="6">
        <f>IF(Tabela5[[#This Row],[Dim_Cenario'[Nome Cenario']]]=Tabela5[[#Headers],[INIC Atual]],Tabela5[[#This Row],['[Valores_cenario']]],0)</f>
        <v>31194.973</v>
      </c>
      <c r="O666" s="6">
        <f>IF(Tabela5[[#This Row],[Dim_Cenario'[Nome Cenario']]]=Tabela5[[#Headers],[Revisado]],Tabela5[[#This Row],['[Valores_cenario']]],0)</f>
        <v>0</v>
      </c>
      <c r="P666" s="6">
        <f>IF(Tabela5[[#This Row],[Dim_Cenario'[Nome Cenario']]]=Tabela5[[#Headers],[Realizado]],Tabela5[[#This Row],['[Valores_cenario']]],0)</f>
        <v>0</v>
      </c>
    </row>
    <row r="667" hidden="1" spans="1:16">
      <c r="A667" t="s">
        <v>17</v>
      </c>
      <c r="B667" t="s">
        <v>18</v>
      </c>
      <c r="C667" t="s">
        <v>37</v>
      </c>
      <c r="D667" t="s">
        <v>20</v>
      </c>
      <c r="E667">
        <v>2024</v>
      </c>
      <c r="F667" t="s">
        <v>25</v>
      </c>
      <c r="G667" t="s">
        <v>26</v>
      </c>
      <c r="H667">
        <v>2</v>
      </c>
      <c r="I667">
        <v>31194.973</v>
      </c>
      <c r="J667" t="s">
        <v>23</v>
      </c>
      <c r="K667" s="3"/>
      <c r="N667" s="6">
        <f>IF(Tabela5[[#This Row],[Dim_Cenario'[Nome Cenario']]]=Tabela5[[#Headers],[INIC Atual]],Tabela5[[#This Row],['[Valores_cenario']]],0)</f>
        <v>31194.973</v>
      </c>
      <c r="O667" s="6">
        <f>IF(Tabela5[[#This Row],[Dim_Cenario'[Nome Cenario']]]=Tabela5[[#Headers],[Revisado]],Tabela5[[#This Row],['[Valores_cenario']]],0)</f>
        <v>0</v>
      </c>
      <c r="P667" s="6">
        <f>IF(Tabela5[[#This Row],[Dim_Cenario'[Nome Cenario']]]=Tabela5[[#Headers],[Realizado]],Tabela5[[#This Row],['[Valores_cenario']]],0)</f>
        <v>0</v>
      </c>
    </row>
    <row r="668" hidden="1" spans="1:16">
      <c r="A668" t="s">
        <v>17</v>
      </c>
      <c r="B668" t="s">
        <v>18</v>
      </c>
      <c r="C668" t="s">
        <v>37</v>
      </c>
      <c r="D668" t="s">
        <v>20</v>
      </c>
      <c r="E668">
        <v>2024</v>
      </c>
      <c r="F668" t="s">
        <v>25</v>
      </c>
      <c r="G668" t="s">
        <v>38</v>
      </c>
      <c r="H668">
        <v>3</v>
      </c>
      <c r="I668">
        <v>31194.973</v>
      </c>
      <c r="J668" t="s">
        <v>23</v>
      </c>
      <c r="K668" s="3"/>
      <c r="N668" s="6">
        <f>IF(Tabela5[[#This Row],[Dim_Cenario'[Nome Cenario']]]=Tabela5[[#Headers],[INIC Atual]],Tabela5[[#This Row],['[Valores_cenario']]],0)</f>
        <v>31194.973</v>
      </c>
      <c r="O668" s="6">
        <f>IF(Tabela5[[#This Row],[Dim_Cenario'[Nome Cenario']]]=Tabela5[[#Headers],[Revisado]],Tabela5[[#This Row],['[Valores_cenario']]],0)</f>
        <v>0</v>
      </c>
      <c r="P668" s="6">
        <f>IF(Tabela5[[#This Row],[Dim_Cenario'[Nome Cenario']]]=Tabela5[[#Headers],[Realizado]],Tabela5[[#This Row],['[Valores_cenario']]],0)</f>
        <v>0</v>
      </c>
    </row>
    <row r="669" hidden="1" spans="1:16">
      <c r="A669" t="s">
        <v>17</v>
      </c>
      <c r="B669" t="s">
        <v>18</v>
      </c>
      <c r="C669" t="s">
        <v>37</v>
      </c>
      <c r="D669" t="s">
        <v>20</v>
      </c>
      <c r="E669">
        <v>2024</v>
      </c>
      <c r="F669" t="s">
        <v>27</v>
      </c>
      <c r="G669" t="s">
        <v>28</v>
      </c>
      <c r="H669">
        <v>4</v>
      </c>
      <c r="I669">
        <v>31194.973</v>
      </c>
      <c r="J669" t="s">
        <v>23</v>
      </c>
      <c r="K669" s="3"/>
      <c r="N669" s="6">
        <f>IF(Tabela5[[#This Row],[Dim_Cenario'[Nome Cenario']]]=Tabela5[[#Headers],[INIC Atual]],Tabela5[[#This Row],['[Valores_cenario']]],0)</f>
        <v>31194.973</v>
      </c>
      <c r="O669" s="6">
        <f>IF(Tabela5[[#This Row],[Dim_Cenario'[Nome Cenario']]]=Tabela5[[#Headers],[Revisado]],Tabela5[[#This Row],['[Valores_cenario']]],0)</f>
        <v>0</v>
      </c>
      <c r="P669" s="6">
        <f>IF(Tabela5[[#This Row],[Dim_Cenario'[Nome Cenario']]]=Tabela5[[#Headers],[Realizado]],Tabela5[[#This Row],['[Valores_cenario']]],0)</f>
        <v>0</v>
      </c>
    </row>
    <row r="670" hidden="1" spans="1:16">
      <c r="A670" t="s">
        <v>97</v>
      </c>
      <c r="B670" t="s">
        <v>18</v>
      </c>
      <c r="C670" t="s">
        <v>98</v>
      </c>
      <c r="D670" t="s">
        <v>15</v>
      </c>
      <c r="E670">
        <v>2021</v>
      </c>
      <c r="F670" t="s">
        <v>30</v>
      </c>
      <c r="G670" t="s">
        <v>41</v>
      </c>
      <c r="H670">
        <v>9</v>
      </c>
      <c r="I670">
        <v>22698</v>
      </c>
      <c r="J670" t="s">
        <v>36</v>
      </c>
      <c r="K670" s="3">
        <v>44469</v>
      </c>
      <c r="L670" t="s">
        <v>385</v>
      </c>
      <c r="M670" t="s">
        <v>402</v>
      </c>
      <c r="N670" s="6">
        <f>IF(Tabela5[[#This Row],[Dim_Cenario'[Nome Cenario']]]=Tabela5[[#Headers],[INIC Atual]],Tabela5[[#This Row],['[Valores_cenario']]],0)</f>
        <v>0</v>
      </c>
      <c r="O670" s="6">
        <f>IF(Tabela5[[#This Row],[Dim_Cenario'[Nome Cenario']]]=Tabela5[[#Headers],[Revisado]],Tabela5[[#This Row],['[Valores_cenario']]],0)</f>
        <v>0</v>
      </c>
      <c r="P670" s="6">
        <f>IF(Tabela5[[#This Row],[Dim_Cenario'[Nome Cenario']]]=Tabela5[[#Headers],[Realizado]],Tabela5[[#This Row],['[Valores_cenario']]],0)</f>
        <v>22698</v>
      </c>
    </row>
    <row r="671" hidden="1" spans="1:16">
      <c r="A671" t="s">
        <v>17</v>
      </c>
      <c r="B671" t="s">
        <v>18</v>
      </c>
      <c r="C671" t="s">
        <v>37</v>
      </c>
      <c r="D671" t="s">
        <v>20</v>
      </c>
      <c r="E671">
        <v>2024</v>
      </c>
      <c r="F671" t="s">
        <v>27</v>
      </c>
      <c r="G671" t="s">
        <v>39</v>
      </c>
      <c r="H671">
        <v>5</v>
      </c>
      <c r="I671">
        <v>31194.973</v>
      </c>
      <c r="J671" t="s">
        <v>23</v>
      </c>
      <c r="K671" s="3"/>
      <c r="N671" s="6">
        <f>IF(Tabela5[[#This Row],[Dim_Cenario'[Nome Cenario']]]=Tabela5[[#Headers],[INIC Atual]],Tabela5[[#This Row],['[Valores_cenario']]],0)</f>
        <v>31194.973</v>
      </c>
      <c r="O671" s="6">
        <f>IF(Tabela5[[#This Row],[Dim_Cenario'[Nome Cenario']]]=Tabela5[[#Headers],[Revisado]],Tabela5[[#This Row],['[Valores_cenario']]],0)</f>
        <v>0</v>
      </c>
      <c r="P671" s="6">
        <f>IF(Tabela5[[#This Row],[Dim_Cenario'[Nome Cenario']]]=Tabela5[[#Headers],[Realizado]],Tabela5[[#This Row],['[Valores_cenario']]],0)</f>
        <v>0</v>
      </c>
    </row>
    <row r="672" hidden="1" spans="1:16">
      <c r="A672" t="s">
        <v>17</v>
      </c>
      <c r="B672" t="s">
        <v>18</v>
      </c>
      <c r="C672" t="s">
        <v>37</v>
      </c>
      <c r="D672" t="s">
        <v>20</v>
      </c>
      <c r="E672">
        <v>2024</v>
      </c>
      <c r="F672" t="s">
        <v>27</v>
      </c>
      <c r="G672" t="s">
        <v>29</v>
      </c>
      <c r="H672">
        <v>6</v>
      </c>
      <c r="I672">
        <v>31194.973</v>
      </c>
      <c r="J672" t="s">
        <v>23</v>
      </c>
      <c r="K672" s="3"/>
      <c r="N672" s="6">
        <f>IF(Tabela5[[#This Row],[Dim_Cenario'[Nome Cenario']]]=Tabela5[[#Headers],[INIC Atual]],Tabela5[[#This Row],['[Valores_cenario']]],0)</f>
        <v>31194.973</v>
      </c>
      <c r="O672" s="6">
        <f>IF(Tabela5[[#This Row],[Dim_Cenario'[Nome Cenario']]]=Tabela5[[#Headers],[Revisado]],Tabela5[[#This Row],['[Valores_cenario']]],0)</f>
        <v>0</v>
      </c>
      <c r="P672" s="6">
        <f>IF(Tabela5[[#This Row],[Dim_Cenario'[Nome Cenario']]]=Tabela5[[#Headers],[Realizado]],Tabela5[[#This Row],['[Valores_cenario']]],0)</f>
        <v>0</v>
      </c>
    </row>
    <row r="673" hidden="1" spans="1:16">
      <c r="A673" t="s">
        <v>17</v>
      </c>
      <c r="B673" t="s">
        <v>18</v>
      </c>
      <c r="C673" t="s">
        <v>19</v>
      </c>
      <c r="D673" t="s">
        <v>15</v>
      </c>
      <c r="E673">
        <v>2021</v>
      </c>
      <c r="F673" t="s">
        <v>21</v>
      </c>
      <c r="G673" t="s">
        <v>22</v>
      </c>
      <c r="H673">
        <v>10</v>
      </c>
      <c r="I673">
        <v>64000</v>
      </c>
      <c r="J673" t="s">
        <v>36</v>
      </c>
      <c r="K673" s="3">
        <v>44495</v>
      </c>
      <c r="L673" t="s">
        <v>354</v>
      </c>
      <c r="M673" t="s">
        <v>403</v>
      </c>
      <c r="N673" s="6">
        <f>IF(Tabela5[[#This Row],[Dim_Cenario'[Nome Cenario']]]=Tabela5[[#Headers],[INIC Atual]],Tabela5[[#This Row],['[Valores_cenario']]],0)</f>
        <v>0</v>
      </c>
      <c r="O673" s="6">
        <f>IF(Tabela5[[#This Row],[Dim_Cenario'[Nome Cenario']]]=Tabela5[[#Headers],[Revisado]],Tabela5[[#This Row],['[Valores_cenario']]],0)</f>
        <v>0</v>
      </c>
      <c r="P673" s="6">
        <f>IF(Tabela5[[#This Row],[Dim_Cenario'[Nome Cenario']]]=Tabela5[[#Headers],[Realizado]],Tabela5[[#This Row],['[Valores_cenario']]],0)</f>
        <v>64000</v>
      </c>
    </row>
    <row r="674" hidden="1" spans="1:16">
      <c r="A674" t="s">
        <v>17</v>
      </c>
      <c r="B674" t="s">
        <v>18</v>
      </c>
      <c r="C674" t="s">
        <v>37</v>
      </c>
      <c r="D674" t="s">
        <v>20</v>
      </c>
      <c r="E674">
        <v>2024</v>
      </c>
      <c r="F674" t="s">
        <v>30</v>
      </c>
      <c r="G674" t="s">
        <v>40</v>
      </c>
      <c r="H674">
        <v>7</v>
      </c>
      <c r="I674">
        <v>31194.973</v>
      </c>
      <c r="J674" t="s">
        <v>23</v>
      </c>
      <c r="K674" s="3"/>
      <c r="N674" s="6">
        <f>IF(Tabela5[[#This Row],[Dim_Cenario'[Nome Cenario']]]=Tabela5[[#Headers],[INIC Atual]],Tabela5[[#This Row],['[Valores_cenario']]],0)</f>
        <v>31194.973</v>
      </c>
      <c r="O674" s="6">
        <f>IF(Tabela5[[#This Row],[Dim_Cenario'[Nome Cenario']]]=Tabela5[[#Headers],[Revisado]],Tabela5[[#This Row],['[Valores_cenario']]],0)</f>
        <v>0</v>
      </c>
      <c r="P674" s="6">
        <f>IF(Tabela5[[#This Row],[Dim_Cenario'[Nome Cenario']]]=Tabela5[[#Headers],[Realizado]],Tabela5[[#This Row],['[Valores_cenario']]],0)</f>
        <v>0</v>
      </c>
    </row>
    <row r="675" hidden="1" spans="1:16">
      <c r="A675" t="s">
        <v>17</v>
      </c>
      <c r="B675" t="s">
        <v>18</v>
      </c>
      <c r="C675" t="s">
        <v>37</v>
      </c>
      <c r="D675" t="s">
        <v>20</v>
      </c>
      <c r="E675">
        <v>2024</v>
      </c>
      <c r="F675" t="s">
        <v>30</v>
      </c>
      <c r="G675" t="s">
        <v>31</v>
      </c>
      <c r="H675">
        <v>8</v>
      </c>
      <c r="I675">
        <v>31194.973</v>
      </c>
      <c r="J675" t="s">
        <v>23</v>
      </c>
      <c r="K675" s="3"/>
      <c r="N675" s="6">
        <f>IF(Tabela5[[#This Row],[Dim_Cenario'[Nome Cenario']]]=Tabela5[[#Headers],[INIC Atual]],Tabela5[[#This Row],['[Valores_cenario']]],0)</f>
        <v>31194.973</v>
      </c>
      <c r="O675" s="6">
        <f>IF(Tabela5[[#This Row],[Dim_Cenario'[Nome Cenario']]]=Tabela5[[#Headers],[Revisado]],Tabela5[[#This Row],['[Valores_cenario']]],0)</f>
        <v>0</v>
      </c>
      <c r="P675" s="6">
        <f>IF(Tabela5[[#This Row],[Dim_Cenario'[Nome Cenario']]]=Tabela5[[#Headers],[Realizado]],Tabela5[[#This Row],['[Valores_cenario']]],0)</f>
        <v>0</v>
      </c>
    </row>
    <row r="676" hidden="1" spans="1:16">
      <c r="A676" t="s">
        <v>97</v>
      </c>
      <c r="B676" t="s">
        <v>18</v>
      </c>
      <c r="C676" t="s">
        <v>98</v>
      </c>
      <c r="D676" t="s">
        <v>15</v>
      </c>
      <c r="E676">
        <v>2021</v>
      </c>
      <c r="F676" t="s">
        <v>21</v>
      </c>
      <c r="G676" t="s">
        <v>22</v>
      </c>
      <c r="H676">
        <v>10</v>
      </c>
      <c r="I676">
        <v>17460</v>
      </c>
      <c r="J676" t="s">
        <v>36</v>
      </c>
      <c r="K676" s="3">
        <v>44500</v>
      </c>
      <c r="L676" t="s">
        <v>50</v>
      </c>
      <c r="M676" t="s">
        <v>404</v>
      </c>
      <c r="N676" s="6">
        <f>IF(Tabela5[[#This Row],[Dim_Cenario'[Nome Cenario']]]=Tabela5[[#Headers],[INIC Atual]],Tabela5[[#This Row],['[Valores_cenario']]],0)</f>
        <v>0</v>
      </c>
      <c r="O676" s="6">
        <f>IF(Tabela5[[#This Row],[Dim_Cenario'[Nome Cenario']]]=Tabela5[[#Headers],[Revisado]],Tabela5[[#This Row],['[Valores_cenario']]],0)</f>
        <v>0</v>
      </c>
      <c r="P676" s="6">
        <f>IF(Tabela5[[#This Row],[Dim_Cenario'[Nome Cenario']]]=Tabela5[[#Headers],[Realizado]],Tabela5[[#This Row],['[Valores_cenario']]],0)</f>
        <v>17460</v>
      </c>
    </row>
    <row r="677" hidden="1" spans="1:16">
      <c r="A677" t="s">
        <v>97</v>
      </c>
      <c r="B677" t="s">
        <v>18</v>
      </c>
      <c r="C677" t="s">
        <v>98</v>
      </c>
      <c r="D677" t="s">
        <v>15</v>
      </c>
      <c r="E677">
        <v>2021</v>
      </c>
      <c r="F677" t="s">
        <v>21</v>
      </c>
      <c r="G677" t="s">
        <v>24</v>
      </c>
      <c r="H677">
        <v>11</v>
      </c>
      <c r="I677">
        <v>-17460</v>
      </c>
      <c r="J677" t="s">
        <v>36</v>
      </c>
      <c r="K677" s="3">
        <v>44501</v>
      </c>
      <c r="L677" t="s">
        <v>50</v>
      </c>
      <c r="M677" t="s">
        <v>404</v>
      </c>
      <c r="N677" s="6">
        <f>IF(Tabela5[[#This Row],[Dim_Cenario'[Nome Cenario']]]=Tabela5[[#Headers],[INIC Atual]],Tabela5[[#This Row],['[Valores_cenario']]],0)</f>
        <v>0</v>
      </c>
      <c r="O677" s="6">
        <f>IF(Tabela5[[#This Row],[Dim_Cenario'[Nome Cenario']]]=Tabela5[[#Headers],[Revisado]],Tabela5[[#This Row],['[Valores_cenario']]],0)</f>
        <v>0</v>
      </c>
      <c r="P677" s="6">
        <f>IF(Tabela5[[#This Row],[Dim_Cenario'[Nome Cenario']]]=Tabela5[[#Headers],[Realizado]],Tabela5[[#This Row],['[Valores_cenario']]],0)</f>
        <v>-17460</v>
      </c>
    </row>
    <row r="678" hidden="1" spans="1:16">
      <c r="A678" t="s">
        <v>17</v>
      </c>
      <c r="B678" t="s">
        <v>18</v>
      </c>
      <c r="C678" t="s">
        <v>37</v>
      </c>
      <c r="D678" t="s">
        <v>20</v>
      </c>
      <c r="E678">
        <v>2024</v>
      </c>
      <c r="F678" t="s">
        <v>30</v>
      </c>
      <c r="G678" t="s">
        <v>41</v>
      </c>
      <c r="H678">
        <v>9</v>
      </c>
      <c r="I678">
        <v>31194.973</v>
      </c>
      <c r="J678" t="s">
        <v>23</v>
      </c>
      <c r="K678" s="3"/>
      <c r="N678" s="6">
        <f>IF(Tabela5[[#This Row],[Dim_Cenario'[Nome Cenario']]]=Tabela5[[#Headers],[INIC Atual]],Tabela5[[#This Row],['[Valores_cenario']]],0)</f>
        <v>31194.973</v>
      </c>
      <c r="O678" s="6">
        <f>IF(Tabela5[[#This Row],[Dim_Cenario'[Nome Cenario']]]=Tabela5[[#Headers],[Revisado]],Tabela5[[#This Row],['[Valores_cenario']]],0)</f>
        <v>0</v>
      </c>
      <c r="P678" s="6">
        <f>IF(Tabela5[[#This Row],[Dim_Cenario'[Nome Cenario']]]=Tabela5[[#Headers],[Realizado]],Tabela5[[#This Row],['[Valores_cenario']]],0)</f>
        <v>0</v>
      </c>
    </row>
    <row r="679" hidden="1" spans="1:16">
      <c r="A679" t="s">
        <v>17</v>
      </c>
      <c r="B679" t="s">
        <v>18</v>
      </c>
      <c r="C679" t="s">
        <v>37</v>
      </c>
      <c r="D679" t="s">
        <v>20</v>
      </c>
      <c r="E679">
        <v>2024</v>
      </c>
      <c r="F679" t="s">
        <v>21</v>
      </c>
      <c r="G679" t="s">
        <v>22</v>
      </c>
      <c r="H679">
        <v>10</v>
      </c>
      <c r="I679">
        <v>31194.973</v>
      </c>
      <c r="J679" t="s">
        <v>23</v>
      </c>
      <c r="K679" s="3"/>
      <c r="N679" s="6">
        <f>IF(Tabela5[[#This Row],[Dim_Cenario'[Nome Cenario']]]=Tabela5[[#Headers],[INIC Atual]],Tabela5[[#This Row],['[Valores_cenario']]],0)</f>
        <v>31194.973</v>
      </c>
      <c r="O679" s="6">
        <f>IF(Tabela5[[#This Row],[Dim_Cenario'[Nome Cenario']]]=Tabela5[[#Headers],[Revisado]],Tabela5[[#This Row],['[Valores_cenario']]],0)</f>
        <v>0</v>
      </c>
      <c r="P679" s="6">
        <f>IF(Tabela5[[#This Row],[Dim_Cenario'[Nome Cenario']]]=Tabela5[[#Headers],[Realizado]],Tabela5[[#This Row],['[Valores_cenario']]],0)</f>
        <v>0</v>
      </c>
    </row>
    <row r="680" hidden="1" spans="1:16">
      <c r="A680" t="s">
        <v>97</v>
      </c>
      <c r="B680" t="s">
        <v>18</v>
      </c>
      <c r="C680" t="s">
        <v>98</v>
      </c>
      <c r="D680" t="s">
        <v>15</v>
      </c>
      <c r="E680">
        <v>2021</v>
      </c>
      <c r="F680" t="s">
        <v>21</v>
      </c>
      <c r="G680" t="s">
        <v>24</v>
      </c>
      <c r="H680">
        <v>11</v>
      </c>
      <c r="I680">
        <v>17460</v>
      </c>
      <c r="J680" t="s">
        <v>36</v>
      </c>
      <c r="K680" s="3">
        <v>44529</v>
      </c>
      <c r="L680" t="s">
        <v>385</v>
      </c>
      <c r="M680" t="s">
        <v>405</v>
      </c>
      <c r="N680" s="6">
        <f>IF(Tabela5[[#This Row],[Dim_Cenario'[Nome Cenario']]]=Tabela5[[#Headers],[INIC Atual]],Tabela5[[#This Row],['[Valores_cenario']]],0)</f>
        <v>0</v>
      </c>
      <c r="O680" s="6">
        <f>IF(Tabela5[[#This Row],[Dim_Cenario'[Nome Cenario']]]=Tabela5[[#Headers],[Revisado]],Tabela5[[#This Row],['[Valores_cenario']]],0)</f>
        <v>0</v>
      </c>
      <c r="P680" s="6">
        <f>IF(Tabela5[[#This Row],[Dim_Cenario'[Nome Cenario']]]=Tabela5[[#Headers],[Realizado]],Tabela5[[#This Row],['[Valores_cenario']]],0)</f>
        <v>17460</v>
      </c>
    </row>
    <row r="681" hidden="1" spans="1:16">
      <c r="A681" t="s">
        <v>97</v>
      </c>
      <c r="B681" t="s">
        <v>18</v>
      </c>
      <c r="C681" t="s">
        <v>98</v>
      </c>
      <c r="D681" t="s">
        <v>15</v>
      </c>
      <c r="E681">
        <v>2021</v>
      </c>
      <c r="F681" t="s">
        <v>21</v>
      </c>
      <c r="G681" t="s">
        <v>24</v>
      </c>
      <c r="H681">
        <v>11</v>
      </c>
      <c r="I681">
        <v>873</v>
      </c>
      <c r="J681" t="s">
        <v>36</v>
      </c>
      <c r="K681" s="3">
        <v>44530</v>
      </c>
      <c r="L681" t="s">
        <v>385</v>
      </c>
      <c r="M681" t="s">
        <v>406</v>
      </c>
      <c r="N681" s="6">
        <f>IF(Tabela5[[#This Row],[Dim_Cenario'[Nome Cenario']]]=Tabela5[[#Headers],[INIC Atual]],Tabela5[[#This Row],['[Valores_cenario']]],0)</f>
        <v>0</v>
      </c>
      <c r="O681" s="6">
        <f>IF(Tabela5[[#This Row],[Dim_Cenario'[Nome Cenario']]]=Tabela5[[#Headers],[Revisado]],Tabela5[[#This Row],['[Valores_cenario']]],0)</f>
        <v>0</v>
      </c>
      <c r="P681" s="6">
        <f>IF(Tabela5[[#This Row],[Dim_Cenario'[Nome Cenario']]]=Tabela5[[#Headers],[Realizado]],Tabela5[[#This Row],['[Valores_cenario']]],0)</f>
        <v>873</v>
      </c>
    </row>
    <row r="682" hidden="1" spans="1:16">
      <c r="A682" t="s">
        <v>17</v>
      </c>
      <c r="B682" t="s">
        <v>18</v>
      </c>
      <c r="C682" t="s">
        <v>37</v>
      </c>
      <c r="D682" t="s">
        <v>20</v>
      </c>
      <c r="E682">
        <v>2024</v>
      </c>
      <c r="F682" t="s">
        <v>21</v>
      </c>
      <c r="G682" t="s">
        <v>24</v>
      </c>
      <c r="H682">
        <v>11</v>
      </c>
      <c r="I682">
        <v>31194.973</v>
      </c>
      <c r="J682" t="s">
        <v>23</v>
      </c>
      <c r="K682" s="3"/>
      <c r="N682" s="6">
        <f>IF(Tabela5[[#This Row],[Dim_Cenario'[Nome Cenario']]]=Tabela5[[#Headers],[INIC Atual]],Tabela5[[#This Row],['[Valores_cenario']]],0)</f>
        <v>31194.973</v>
      </c>
      <c r="O682" s="6">
        <f>IF(Tabela5[[#This Row],[Dim_Cenario'[Nome Cenario']]]=Tabela5[[#Headers],[Revisado]],Tabela5[[#This Row],['[Valores_cenario']]],0)</f>
        <v>0</v>
      </c>
      <c r="P682" s="6">
        <f>IF(Tabela5[[#This Row],[Dim_Cenario'[Nome Cenario']]]=Tabela5[[#Headers],[Realizado]],Tabela5[[#This Row],['[Valores_cenario']]],0)</f>
        <v>0</v>
      </c>
    </row>
    <row r="683" hidden="1" spans="1:16">
      <c r="A683" t="s">
        <v>17</v>
      </c>
      <c r="B683" t="s">
        <v>18</v>
      </c>
      <c r="C683" t="s">
        <v>37</v>
      </c>
      <c r="D683" t="s">
        <v>20</v>
      </c>
      <c r="E683">
        <v>2024</v>
      </c>
      <c r="F683" t="s">
        <v>21</v>
      </c>
      <c r="G683" t="s">
        <v>32</v>
      </c>
      <c r="H683">
        <v>12</v>
      </c>
      <c r="I683">
        <v>31194.973</v>
      </c>
      <c r="J683" t="s">
        <v>23</v>
      </c>
      <c r="K683" s="3"/>
      <c r="N683" s="6">
        <f>IF(Tabela5[[#This Row],[Dim_Cenario'[Nome Cenario']]]=Tabela5[[#Headers],[INIC Atual]],Tabela5[[#This Row],['[Valores_cenario']]],0)</f>
        <v>31194.973</v>
      </c>
      <c r="O683" s="6">
        <f>IF(Tabela5[[#This Row],[Dim_Cenario'[Nome Cenario']]]=Tabela5[[#Headers],[Revisado]],Tabela5[[#This Row],['[Valores_cenario']]],0)</f>
        <v>0</v>
      </c>
      <c r="P683" s="6">
        <f>IF(Tabela5[[#This Row],[Dim_Cenario'[Nome Cenario']]]=Tabela5[[#Headers],[Realizado]],Tabela5[[#This Row],['[Valores_cenario']]],0)</f>
        <v>0</v>
      </c>
    </row>
    <row r="684" hidden="1" spans="1:16">
      <c r="A684" t="s">
        <v>17</v>
      </c>
      <c r="B684" t="s">
        <v>18</v>
      </c>
      <c r="C684" t="s">
        <v>37</v>
      </c>
      <c r="D684" t="s">
        <v>14</v>
      </c>
      <c r="E684">
        <v>2024</v>
      </c>
      <c r="F684" t="s">
        <v>25</v>
      </c>
      <c r="G684" t="s">
        <v>35</v>
      </c>
      <c r="H684">
        <v>1</v>
      </c>
      <c r="I684">
        <v>6085.47</v>
      </c>
      <c r="J684" t="s">
        <v>23</v>
      </c>
      <c r="K684" s="3"/>
      <c r="N684" s="6">
        <f>IF(Tabela5[[#This Row],[Dim_Cenario'[Nome Cenario']]]=Tabela5[[#Headers],[INIC Atual]],Tabela5[[#This Row],['[Valores_cenario']]],0)</f>
        <v>0</v>
      </c>
      <c r="O684" s="6">
        <f>IF(Tabela5[[#This Row],[Dim_Cenario'[Nome Cenario']]]=Tabela5[[#Headers],[Revisado]],Tabela5[[#This Row],['[Valores_cenario']]],0)</f>
        <v>6085.47</v>
      </c>
      <c r="P684" s="6">
        <f>IF(Tabela5[[#This Row],[Dim_Cenario'[Nome Cenario']]]=Tabela5[[#Headers],[Realizado]],Tabela5[[#This Row],['[Valores_cenario']]],0)</f>
        <v>0</v>
      </c>
    </row>
    <row r="685" hidden="1" spans="1:16">
      <c r="A685" t="s">
        <v>17</v>
      </c>
      <c r="B685" t="s">
        <v>18</v>
      </c>
      <c r="C685" t="s">
        <v>37</v>
      </c>
      <c r="D685" t="s">
        <v>14</v>
      </c>
      <c r="E685">
        <v>2024</v>
      </c>
      <c r="F685" t="s">
        <v>25</v>
      </c>
      <c r="G685" t="s">
        <v>26</v>
      </c>
      <c r="H685">
        <v>2</v>
      </c>
      <c r="I685">
        <v>240.47</v>
      </c>
      <c r="J685" t="s">
        <v>23</v>
      </c>
      <c r="K685" s="3"/>
      <c r="N685" s="6">
        <f>IF(Tabela5[[#This Row],[Dim_Cenario'[Nome Cenario']]]=Tabela5[[#Headers],[INIC Atual]],Tabela5[[#This Row],['[Valores_cenario']]],0)</f>
        <v>0</v>
      </c>
      <c r="O685" s="6">
        <f>IF(Tabela5[[#This Row],[Dim_Cenario'[Nome Cenario']]]=Tabela5[[#Headers],[Revisado]],Tabela5[[#This Row],['[Valores_cenario']]],0)</f>
        <v>240.47</v>
      </c>
      <c r="P685" s="6">
        <f>IF(Tabela5[[#This Row],[Dim_Cenario'[Nome Cenario']]]=Tabela5[[#Headers],[Realizado]],Tabela5[[#This Row],['[Valores_cenario']]],0)</f>
        <v>0</v>
      </c>
    </row>
    <row r="686" hidden="1" spans="1:16">
      <c r="A686" t="s">
        <v>17</v>
      </c>
      <c r="B686" t="s">
        <v>18</v>
      </c>
      <c r="C686" t="s">
        <v>37</v>
      </c>
      <c r="D686" t="s">
        <v>14</v>
      </c>
      <c r="E686">
        <v>2024</v>
      </c>
      <c r="F686" t="s">
        <v>25</v>
      </c>
      <c r="G686" t="s">
        <v>38</v>
      </c>
      <c r="H686">
        <v>3</v>
      </c>
      <c r="I686">
        <v>63448.47</v>
      </c>
      <c r="J686" t="s">
        <v>23</v>
      </c>
      <c r="K686" s="3"/>
      <c r="N686" s="6">
        <f>IF(Tabela5[[#This Row],[Dim_Cenario'[Nome Cenario']]]=Tabela5[[#Headers],[INIC Atual]],Tabela5[[#This Row],['[Valores_cenario']]],0)</f>
        <v>0</v>
      </c>
      <c r="O686" s="6">
        <f>IF(Tabela5[[#This Row],[Dim_Cenario'[Nome Cenario']]]=Tabela5[[#Headers],[Revisado]],Tabela5[[#This Row],['[Valores_cenario']]],0)</f>
        <v>63448.47</v>
      </c>
      <c r="P686" s="6">
        <f>IF(Tabela5[[#This Row],[Dim_Cenario'[Nome Cenario']]]=Tabela5[[#Headers],[Realizado]],Tabela5[[#This Row],['[Valores_cenario']]],0)</f>
        <v>0</v>
      </c>
    </row>
    <row r="687" hidden="1" spans="1:16">
      <c r="A687" t="s">
        <v>17</v>
      </c>
      <c r="B687" t="s">
        <v>18</v>
      </c>
      <c r="C687" t="s">
        <v>96</v>
      </c>
      <c r="D687" t="s">
        <v>15</v>
      </c>
      <c r="E687">
        <v>2021</v>
      </c>
      <c r="F687" t="s">
        <v>21</v>
      </c>
      <c r="G687" t="s">
        <v>32</v>
      </c>
      <c r="H687">
        <v>12</v>
      </c>
      <c r="I687">
        <v>53350</v>
      </c>
      <c r="J687" t="s">
        <v>36</v>
      </c>
      <c r="K687" s="3">
        <v>44561</v>
      </c>
      <c r="L687" t="s">
        <v>50</v>
      </c>
      <c r="M687" t="s">
        <v>407</v>
      </c>
      <c r="N687" s="6">
        <f>IF(Tabela5[[#This Row],[Dim_Cenario'[Nome Cenario']]]=Tabela5[[#Headers],[INIC Atual]],Tabela5[[#This Row],['[Valores_cenario']]],0)</f>
        <v>0</v>
      </c>
      <c r="O687" s="6">
        <f>IF(Tabela5[[#This Row],[Dim_Cenario'[Nome Cenario']]]=Tabela5[[#Headers],[Revisado]],Tabela5[[#This Row],['[Valores_cenario']]],0)</f>
        <v>0</v>
      </c>
      <c r="P687" s="6">
        <f>IF(Tabela5[[#This Row],[Dim_Cenario'[Nome Cenario']]]=Tabela5[[#Headers],[Realizado]],Tabela5[[#This Row],['[Valores_cenario']]],0)</f>
        <v>53350</v>
      </c>
    </row>
    <row r="688" hidden="1" spans="1:16">
      <c r="A688" t="s">
        <v>17</v>
      </c>
      <c r="B688" t="s">
        <v>18</v>
      </c>
      <c r="C688" t="s">
        <v>37</v>
      </c>
      <c r="D688" t="s">
        <v>14</v>
      </c>
      <c r="E688">
        <v>2024</v>
      </c>
      <c r="F688" t="s">
        <v>27</v>
      </c>
      <c r="G688" t="s">
        <v>28</v>
      </c>
      <c r="H688">
        <v>4</v>
      </c>
      <c r="I688">
        <v>17962.47</v>
      </c>
      <c r="J688" t="s">
        <v>23</v>
      </c>
      <c r="K688" s="3"/>
      <c r="N688" s="6">
        <f>IF(Tabela5[[#This Row],[Dim_Cenario'[Nome Cenario']]]=Tabela5[[#Headers],[INIC Atual]],Tabela5[[#This Row],['[Valores_cenario']]],0)</f>
        <v>0</v>
      </c>
      <c r="O688" s="6">
        <f>IF(Tabela5[[#This Row],[Dim_Cenario'[Nome Cenario']]]=Tabela5[[#Headers],[Revisado]],Tabela5[[#This Row],['[Valores_cenario']]],0)</f>
        <v>17962.47</v>
      </c>
      <c r="P688" s="6">
        <f>IF(Tabela5[[#This Row],[Dim_Cenario'[Nome Cenario']]]=Tabela5[[#Headers],[Realizado]],Tabela5[[#This Row],['[Valores_cenario']]],0)</f>
        <v>0</v>
      </c>
    </row>
    <row r="689" hidden="1" spans="1:16">
      <c r="A689" t="s">
        <v>17</v>
      </c>
      <c r="B689" t="s">
        <v>18</v>
      </c>
      <c r="C689" t="s">
        <v>37</v>
      </c>
      <c r="D689" t="s">
        <v>14</v>
      </c>
      <c r="E689">
        <v>2024</v>
      </c>
      <c r="F689" t="s">
        <v>27</v>
      </c>
      <c r="G689" t="s">
        <v>39</v>
      </c>
      <c r="H689">
        <v>5</v>
      </c>
      <c r="I689">
        <v>51820.47</v>
      </c>
      <c r="J689" t="s">
        <v>23</v>
      </c>
      <c r="K689" s="3"/>
      <c r="N689" s="6">
        <f>IF(Tabela5[[#This Row],[Dim_Cenario'[Nome Cenario']]]=Tabela5[[#Headers],[INIC Atual]],Tabela5[[#This Row],['[Valores_cenario']]],0)</f>
        <v>0</v>
      </c>
      <c r="O689" s="6">
        <f>IF(Tabela5[[#This Row],[Dim_Cenario'[Nome Cenario']]]=Tabela5[[#Headers],[Revisado]],Tabela5[[#This Row],['[Valores_cenario']]],0)</f>
        <v>51820.47</v>
      </c>
      <c r="P689" s="6">
        <f>IF(Tabela5[[#This Row],[Dim_Cenario'[Nome Cenario']]]=Tabela5[[#Headers],[Realizado]],Tabela5[[#This Row],['[Valores_cenario']]],0)</f>
        <v>0</v>
      </c>
    </row>
    <row r="690" hidden="1" spans="1:16">
      <c r="A690" t="s">
        <v>17</v>
      </c>
      <c r="B690" t="s">
        <v>18</v>
      </c>
      <c r="C690" t="s">
        <v>37</v>
      </c>
      <c r="D690" t="s">
        <v>14</v>
      </c>
      <c r="E690">
        <v>2024</v>
      </c>
      <c r="F690" t="s">
        <v>27</v>
      </c>
      <c r="G690" t="s">
        <v>29</v>
      </c>
      <c r="H690">
        <v>6</v>
      </c>
      <c r="I690">
        <v>1201.47</v>
      </c>
      <c r="J690" t="s">
        <v>23</v>
      </c>
      <c r="K690" s="3"/>
      <c r="N690" s="6">
        <f>IF(Tabela5[[#This Row],[Dim_Cenario'[Nome Cenario']]]=Tabela5[[#Headers],[INIC Atual]],Tabela5[[#This Row],['[Valores_cenario']]],0)</f>
        <v>0</v>
      </c>
      <c r="O690" s="6">
        <f>IF(Tabela5[[#This Row],[Dim_Cenario'[Nome Cenario']]]=Tabela5[[#Headers],[Revisado]],Tabela5[[#This Row],['[Valores_cenario']]],0)</f>
        <v>1201.47</v>
      </c>
      <c r="P690" s="6">
        <f>IF(Tabela5[[#This Row],[Dim_Cenario'[Nome Cenario']]]=Tabela5[[#Headers],[Realizado]],Tabela5[[#This Row],['[Valores_cenario']]],0)</f>
        <v>0</v>
      </c>
    </row>
    <row r="691" hidden="1" spans="1:16">
      <c r="A691" t="s">
        <v>17</v>
      </c>
      <c r="B691" t="s">
        <v>18</v>
      </c>
      <c r="C691" t="s">
        <v>96</v>
      </c>
      <c r="D691" t="s">
        <v>15</v>
      </c>
      <c r="E691">
        <v>2022</v>
      </c>
      <c r="F691" t="s">
        <v>25</v>
      </c>
      <c r="G691" t="s">
        <v>35</v>
      </c>
      <c r="H691">
        <v>1</v>
      </c>
      <c r="I691">
        <v>-53350</v>
      </c>
      <c r="J691" t="s">
        <v>23</v>
      </c>
      <c r="K691" s="3">
        <v>44575</v>
      </c>
      <c r="L691" t="s">
        <v>50</v>
      </c>
      <c r="M691" t="s">
        <v>407</v>
      </c>
      <c r="N691" s="6">
        <f>IF(Tabela5[[#This Row],[Dim_Cenario'[Nome Cenario']]]=Tabela5[[#Headers],[INIC Atual]],Tabela5[[#This Row],['[Valores_cenario']]],0)</f>
        <v>0</v>
      </c>
      <c r="O691" s="6">
        <f>IF(Tabela5[[#This Row],[Dim_Cenario'[Nome Cenario']]]=Tabela5[[#Headers],[Revisado]],Tabela5[[#This Row],['[Valores_cenario']]],0)</f>
        <v>0</v>
      </c>
      <c r="P691" s="6">
        <f>IF(Tabela5[[#This Row],[Dim_Cenario'[Nome Cenario']]]=Tabela5[[#Headers],[Realizado]],Tabela5[[#This Row],['[Valores_cenario']]],0)</f>
        <v>-53350</v>
      </c>
    </row>
    <row r="692" hidden="1" spans="1:16">
      <c r="A692" t="s">
        <v>17</v>
      </c>
      <c r="B692" t="s">
        <v>18</v>
      </c>
      <c r="C692" t="s">
        <v>37</v>
      </c>
      <c r="D692" t="s">
        <v>14</v>
      </c>
      <c r="E692">
        <v>2024</v>
      </c>
      <c r="F692" t="s">
        <v>30</v>
      </c>
      <c r="G692" t="s">
        <v>40</v>
      </c>
      <c r="H692">
        <v>7</v>
      </c>
      <c r="I692">
        <v>0.47</v>
      </c>
      <c r="J692" t="s">
        <v>23</v>
      </c>
      <c r="K692" s="3"/>
      <c r="N692" s="6">
        <f>IF(Tabela5[[#This Row],[Dim_Cenario'[Nome Cenario']]]=Tabela5[[#Headers],[INIC Atual]],Tabela5[[#This Row],['[Valores_cenario']]],0)</f>
        <v>0</v>
      </c>
      <c r="O692" s="6">
        <f>IF(Tabela5[[#This Row],[Dim_Cenario'[Nome Cenario']]]=Tabela5[[#Headers],[Revisado]],Tabela5[[#This Row],['[Valores_cenario']]],0)</f>
        <v>0.47</v>
      </c>
      <c r="P692" s="6">
        <f>IF(Tabela5[[#This Row],[Dim_Cenario'[Nome Cenario']]]=Tabela5[[#Headers],[Realizado]],Tabela5[[#This Row],['[Valores_cenario']]],0)</f>
        <v>0</v>
      </c>
    </row>
    <row r="693" hidden="1" spans="1:16">
      <c r="A693" t="s">
        <v>17</v>
      </c>
      <c r="B693" t="s">
        <v>18</v>
      </c>
      <c r="C693" t="s">
        <v>96</v>
      </c>
      <c r="D693" t="s">
        <v>15</v>
      </c>
      <c r="E693">
        <v>2022</v>
      </c>
      <c r="F693" t="s">
        <v>25</v>
      </c>
      <c r="G693" t="s">
        <v>35</v>
      </c>
      <c r="H693">
        <v>1</v>
      </c>
      <c r="I693">
        <v>53350</v>
      </c>
      <c r="J693" t="s">
        <v>23</v>
      </c>
      <c r="K693" s="3">
        <v>44589</v>
      </c>
      <c r="L693" t="s">
        <v>363</v>
      </c>
      <c r="M693" t="s">
        <v>408</v>
      </c>
      <c r="N693" s="6">
        <f>IF(Tabela5[[#This Row],[Dim_Cenario'[Nome Cenario']]]=Tabela5[[#Headers],[INIC Atual]],Tabela5[[#This Row],['[Valores_cenario']]],0)</f>
        <v>0</v>
      </c>
      <c r="O693" s="6">
        <f>IF(Tabela5[[#This Row],[Dim_Cenario'[Nome Cenario']]]=Tabela5[[#Headers],[Revisado]],Tabela5[[#This Row],['[Valores_cenario']]],0)</f>
        <v>0</v>
      </c>
      <c r="P693" s="6">
        <f>IF(Tabela5[[#This Row],[Dim_Cenario'[Nome Cenario']]]=Tabela5[[#Headers],[Realizado]],Tabela5[[#This Row],['[Valores_cenario']]],0)</f>
        <v>53350</v>
      </c>
    </row>
    <row r="694" hidden="1" spans="1:16">
      <c r="A694" t="s">
        <v>17</v>
      </c>
      <c r="B694" t="s">
        <v>18</v>
      </c>
      <c r="C694" t="s">
        <v>37</v>
      </c>
      <c r="D694" t="s">
        <v>14</v>
      </c>
      <c r="E694">
        <v>2024</v>
      </c>
      <c r="F694" t="s">
        <v>30</v>
      </c>
      <c r="G694" t="s">
        <v>31</v>
      </c>
      <c r="H694">
        <v>8</v>
      </c>
      <c r="I694">
        <v>4887.47</v>
      </c>
      <c r="J694" t="s">
        <v>23</v>
      </c>
      <c r="K694" s="3"/>
      <c r="N694" s="6">
        <f>IF(Tabela5[[#This Row],[Dim_Cenario'[Nome Cenario']]]=Tabela5[[#Headers],[INIC Atual]],Tabela5[[#This Row],['[Valores_cenario']]],0)</f>
        <v>0</v>
      </c>
      <c r="O694" s="6">
        <f>IF(Tabela5[[#This Row],[Dim_Cenario'[Nome Cenario']]]=Tabela5[[#Headers],[Revisado]],Tabela5[[#This Row],['[Valores_cenario']]],0)</f>
        <v>4887.47</v>
      </c>
      <c r="P694" s="6">
        <f>IF(Tabela5[[#This Row],[Dim_Cenario'[Nome Cenario']]]=Tabela5[[#Headers],[Realizado]],Tabela5[[#This Row],['[Valores_cenario']]],0)</f>
        <v>0</v>
      </c>
    </row>
    <row r="695" hidden="1" spans="1:16">
      <c r="A695" t="s">
        <v>17</v>
      </c>
      <c r="B695" t="s">
        <v>18</v>
      </c>
      <c r="C695" t="s">
        <v>37</v>
      </c>
      <c r="D695" t="s">
        <v>14</v>
      </c>
      <c r="E695">
        <v>2024</v>
      </c>
      <c r="F695" t="s">
        <v>30</v>
      </c>
      <c r="G695" t="s">
        <v>41</v>
      </c>
      <c r="H695">
        <v>9</v>
      </c>
      <c r="I695">
        <v>60185.47</v>
      </c>
      <c r="J695" t="s">
        <v>23</v>
      </c>
      <c r="K695" s="3"/>
      <c r="N695" s="6">
        <f>IF(Tabela5[[#This Row],[Dim_Cenario'[Nome Cenario']]]=Tabela5[[#Headers],[INIC Atual]],Tabela5[[#This Row],['[Valores_cenario']]],0)</f>
        <v>0</v>
      </c>
      <c r="O695" s="6">
        <f>IF(Tabela5[[#This Row],[Dim_Cenario'[Nome Cenario']]]=Tabela5[[#Headers],[Revisado]],Tabela5[[#This Row],['[Valores_cenario']]],0)</f>
        <v>60185.47</v>
      </c>
      <c r="P695" s="6">
        <f>IF(Tabela5[[#This Row],[Dim_Cenario'[Nome Cenario']]]=Tabela5[[#Headers],[Realizado]],Tabela5[[#This Row],['[Valores_cenario']]],0)</f>
        <v>0</v>
      </c>
    </row>
    <row r="696" hidden="1" spans="1:16">
      <c r="A696" t="s">
        <v>97</v>
      </c>
      <c r="B696" t="s">
        <v>18</v>
      </c>
      <c r="C696" t="s">
        <v>98</v>
      </c>
      <c r="D696" t="s">
        <v>15</v>
      </c>
      <c r="E696">
        <v>2022</v>
      </c>
      <c r="F696" t="s">
        <v>25</v>
      </c>
      <c r="G696" t="s">
        <v>26</v>
      </c>
      <c r="H696">
        <v>2</v>
      </c>
      <c r="I696">
        <v>2619</v>
      </c>
      <c r="J696" t="s">
        <v>23</v>
      </c>
      <c r="K696" s="3">
        <v>44611</v>
      </c>
      <c r="L696" t="s">
        <v>409</v>
      </c>
      <c r="M696" t="s">
        <v>410</v>
      </c>
      <c r="N696" s="6">
        <f>IF(Tabela5[[#This Row],[Dim_Cenario'[Nome Cenario']]]=Tabela5[[#Headers],[INIC Atual]],Tabela5[[#This Row],['[Valores_cenario']]],0)</f>
        <v>0</v>
      </c>
      <c r="O696" s="6">
        <f>IF(Tabela5[[#This Row],[Dim_Cenario'[Nome Cenario']]]=Tabela5[[#Headers],[Revisado]],Tabela5[[#This Row],['[Valores_cenario']]],0)</f>
        <v>0</v>
      </c>
      <c r="P696" s="6">
        <f>IF(Tabela5[[#This Row],[Dim_Cenario'[Nome Cenario']]]=Tabela5[[#Headers],[Realizado]],Tabela5[[#This Row],['[Valores_cenario']]],0)</f>
        <v>2619</v>
      </c>
    </row>
    <row r="697" hidden="1" spans="1:16">
      <c r="A697" t="s">
        <v>17</v>
      </c>
      <c r="B697" t="s">
        <v>18</v>
      </c>
      <c r="C697" t="s">
        <v>37</v>
      </c>
      <c r="D697" t="s">
        <v>14</v>
      </c>
      <c r="E697">
        <v>2024</v>
      </c>
      <c r="F697" t="s">
        <v>21</v>
      </c>
      <c r="G697" t="s">
        <v>22</v>
      </c>
      <c r="H697">
        <v>10</v>
      </c>
      <c r="I697">
        <v>61240.47</v>
      </c>
      <c r="J697" t="s">
        <v>23</v>
      </c>
      <c r="K697" s="3"/>
      <c r="N697" s="6">
        <f>IF(Tabela5[[#This Row],[Dim_Cenario'[Nome Cenario']]]=Tabela5[[#Headers],[INIC Atual]],Tabela5[[#This Row],['[Valores_cenario']]],0)</f>
        <v>0</v>
      </c>
      <c r="O697" s="6">
        <f>IF(Tabela5[[#This Row],[Dim_Cenario'[Nome Cenario']]]=Tabela5[[#Headers],[Revisado]],Tabela5[[#This Row],['[Valores_cenario']]],0)</f>
        <v>61240.47</v>
      </c>
      <c r="P697" s="6">
        <f>IF(Tabela5[[#This Row],[Dim_Cenario'[Nome Cenario']]]=Tabela5[[#Headers],[Realizado]],Tabela5[[#This Row],['[Valores_cenario']]],0)</f>
        <v>0</v>
      </c>
    </row>
    <row r="698" hidden="1" spans="1:16">
      <c r="A698" t="s">
        <v>17</v>
      </c>
      <c r="B698" t="s">
        <v>18</v>
      </c>
      <c r="C698" t="s">
        <v>37</v>
      </c>
      <c r="D698" t="s">
        <v>14</v>
      </c>
      <c r="E698">
        <v>2024</v>
      </c>
      <c r="F698" t="s">
        <v>21</v>
      </c>
      <c r="G698" t="s">
        <v>24</v>
      </c>
      <c r="H698">
        <v>11</v>
      </c>
      <c r="I698">
        <v>50685.47</v>
      </c>
      <c r="J698" t="s">
        <v>23</v>
      </c>
      <c r="K698" s="3"/>
      <c r="N698" s="6">
        <f>IF(Tabela5[[#This Row],[Dim_Cenario'[Nome Cenario']]]=Tabela5[[#Headers],[INIC Atual]],Tabela5[[#This Row],['[Valores_cenario']]],0)</f>
        <v>0</v>
      </c>
      <c r="O698" s="6">
        <f>IF(Tabela5[[#This Row],[Dim_Cenario'[Nome Cenario']]]=Tabela5[[#Headers],[Revisado]],Tabela5[[#This Row],['[Valores_cenario']]],0)</f>
        <v>50685.47</v>
      </c>
      <c r="P698" s="6">
        <f>IF(Tabela5[[#This Row],[Dim_Cenario'[Nome Cenario']]]=Tabela5[[#Headers],[Realizado]],Tabela5[[#This Row],['[Valores_cenario']]],0)</f>
        <v>0</v>
      </c>
    </row>
    <row r="699" hidden="1" spans="1:16">
      <c r="A699" t="s">
        <v>97</v>
      </c>
      <c r="B699" t="s">
        <v>18</v>
      </c>
      <c r="C699" t="s">
        <v>98</v>
      </c>
      <c r="D699" t="s">
        <v>15</v>
      </c>
      <c r="E699">
        <v>2022</v>
      </c>
      <c r="F699" t="s">
        <v>25</v>
      </c>
      <c r="G699" t="s">
        <v>26</v>
      </c>
      <c r="H699">
        <v>2</v>
      </c>
      <c r="I699">
        <v>8730</v>
      </c>
      <c r="J699" t="s">
        <v>23</v>
      </c>
      <c r="K699" s="3">
        <v>44620</v>
      </c>
      <c r="L699" t="s">
        <v>409</v>
      </c>
      <c r="M699" t="s">
        <v>411</v>
      </c>
      <c r="N699" s="6">
        <f>IF(Tabela5[[#This Row],[Dim_Cenario'[Nome Cenario']]]=Tabela5[[#Headers],[INIC Atual]],Tabela5[[#This Row],['[Valores_cenario']]],0)</f>
        <v>0</v>
      </c>
      <c r="O699" s="6">
        <f>IF(Tabela5[[#This Row],[Dim_Cenario'[Nome Cenario']]]=Tabela5[[#Headers],[Revisado]],Tabela5[[#This Row],['[Valores_cenario']]],0)</f>
        <v>0</v>
      </c>
      <c r="P699" s="6">
        <f>IF(Tabela5[[#This Row],[Dim_Cenario'[Nome Cenario']]]=Tabela5[[#Headers],[Realizado]],Tabela5[[#This Row],['[Valores_cenario']]],0)</f>
        <v>8730</v>
      </c>
    </row>
    <row r="700" hidden="1" spans="1:16">
      <c r="A700" t="s">
        <v>17</v>
      </c>
      <c r="B700" t="s">
        <v>18</v>
      </c>
      <c r="C700" t="s">
        <v>37</v>
      </c>
      <c r="D700" t="s">
        <v>14</v>
      </c>
      <c r="E700">
        <v>2024</v>
      </c>
      <c r="F700" t="s">
        <v>21</v>
      </c>
      <c r="G700" t="s">
        <v>32</v>
      </c>
      <c r="H700">
        <v>12</v>
      </c>
      <c r="I700">
        <v>62024.47</v>
      </c>
      <c r="J700" t="s">
        <v>23</v>
      </c>
      <c r="K700" s="3"/>
      <c r="N700" s="6">
        <f>IF(Tabela5[[#This Row],[Dim_Cenario'[Nome Cenario']]]=Tabela5[[#Headers],[INIC Atual]],Tabela5[[#This Row],['[Valores_cenario']]],0)</f>
        <v>0</v>
      </c>
      <c r="O700" s="6">
        <f>IF(Tabela5[[#This Row],[Dim_Cenario'[Nome Cenario']]]=Tabela5[[#Headers],[Revisado]],Tabela5[[#This Row],['[Valores_cenario']]],0)</f>
        <v>62024.47</v>
      </c>
      <c r="P700" s="6">
        <f>IF(Tabela5[[#This Row],[Dim_Cenario'[Nome Cenario']]]=Tabela5[[#Headers],[Realizado]],Tabela5[[#This Row],['[Valores_cenario']]],0)</f>
        <v>0</v>
      </c>
    </row>
    <row r="701" hidden="1" spans="1:16">
      <c r="A701" t="s">
        <v>17</v>
      </c>
      <c r="B701" t="s">
        <v>18</v>
      </c>
      <c r="C701" t="s">
        <v>19</v>
      </c>
      <c r="D701" t="s">
        <v>15</v>
      </c>
      <c r="E701">
        <v>2022</v>
      </c>
      <c r="F701" t="s">
        <v>25</v>
      </c>
      <c r="G701" t="s">
        <v>38</v>
      </c>
      <c r="H701">
        <v>3</v>
      </c>
      <c r="I701">
        <v>13250</v>
      </c>
      <c r="J701" t="s">
        <v>23</v>
      </c>
      <c r="K701" s="3">
        <v>44631</v>
      </c>
      <c r="L701" t="s">
        <v>412</v>
      </c>
      <c r="M701" t="s">
        <v>413</v>
      </c>
      <c r="N701" s="6">
        <f>IF(Tabela5[[#This Row],[Dim_Cenario'[Nome Cenario']]]=Tabela5[[#Headers],[INIC Atual]],Tabela5[[#This Row],['[Valores_cenario']]],0)</f>
        <v>0</v>
      </c>
      <c r="O701" s="6">
        <f>IF(Tabela5[[#This Row],[Dim_Cenario'[Nome Cenario']]]=Tabela5[[#Headers],[Revisado]],Tabela5[[#This Row],['[Valores_cenario']]],0)</f>
        <v>0</v>
      </c>
      <c r="P701" s="6">
        <f>IF(Tabela5[[#This Row],[Dim_Cenario'[Nome Cenario']]]=Tabela5[[#Headers],[Realizado]],Tabela5[[#This Row],['[Valores_cenario']]],0)</f>
        <v>13250</v>
      </c>
    </row>
    <row r="702" hidden="1" spans="1:16">
      <c r="A702" t="s">
        <v>17</v>
      </c>
      <c r="B702" t="s">
        <v>92</v>
      </c>
      <c r="C702" t="s">
        <v>37</v>
      </c>
      <c r="D702" t="s">
        <v>14</v>
      </c>
      <c r="E702">
        <v>2024</v>
      </c>
      <c r="F702" t="s">
        <v>21</v>
      </c>
      <c r="G702" t="s">
        <v>22</v>
      </c>
      <c r="H702">
        <v>10</v>
      </c>
      <c r="I702">
        <v>33558.13</v>
      </c>
      <c r="J702" t="s">
        <v>23</v>
      </c>
      <c r="K702" s="3"/>
      <c r="N702" s="6">
        <f>IF(Tabela5[[#This Row],[Dim_Cenario'[Nome Cenario']]]=Tabela5[[#Headers],[INIC Atual]],Tabela5[[#This Row],['[Valores_cenario']]],0)</f>
        <v>0</v>
      </c>
      <c r="O702" s="6">
        <f>IF(Tabela5[[#This Row],[Dim_Cenario'[Nome Cenario']]]=Tabela5[[#Headers],[Revisado]],Tabela5[[#This Row],['[Valores_cenario']]],0)</f>
        <v>33558.13</v>
      </c>
      <c r="P702" s="6">
        <f>IF(Tabela5[[#This Row],[Dim_Cenario'[Nome Cenario']]]=Tabela5[[#Headers],[Realizado]],Tabela5[[#This Row],['[Valores_cenario']]],0)</f>
        <v>0</v>
      </c>
    </row>
    <row r="703" spans="1:16">
      <c r="A703" t="s">
        <v>17</v>
      </c>
      <c r="B703" t="s">
        <v>18</v>
      </c>
      <c r="C703" t="s">
        <v>37</v>
      </c>
      <c r="D703" t="s">
        <v>15</v>
      </c>
      <c r="E703">
        <v>2021</v>
      </c>
      <c r="F703" t="s">
        <v>21</v>
      </c>
      <c r="G703" t="s">
        <v>32</v>
      </c>
      <c r="H703">
        <v>12</v>
      </c>
      <c r="I703">
        <v>1050</v>
      </c>
      <c r="J703" t="s">
        <v>36</v>
      </c>
      <c r="K703" s="3">
        <v>44559</v>
      </c>
      <c r="L703" t="s">
        <v>414</v>
      </c>
      <c r="M703" t="s">
        <v>415</v>
      </c>
      <c r="N703" s="6">
        <f>IF(Tabela5[[#This Row],[Dim_Cenario'[Nome Cenario']]]=Tabela5[[#Headers],[INIC Atual]],Tabela5[[#This Row],['[Valores_cenario']]],0)</f>
        <v>0</v>
      </c>
      <c r="O703" s="6">
        <f>IF(Tabela5[[#This Row],[Dim_Cenario'[Nome Cenario']]]=Tabela5[[#Headers],[Revisado]],Tabela5[[#This Row],['[Valores_cenario']]],0)</f>
        <v>0</v>
      </c>
      <c r="P703" s="6">
        <f>IF(Tabela5[[#This Row],[Dim_Cenario'[Nome Cenario']]]=Tabela5[[#Headers],[Realizado]],Tabela5[[#This Row],['[Valores_cenario']]],0)</f>
        <v>1050</v>
      </c>
    </row>
    <row r="704" spans="1:16">
      <c r="A704" t="s">
        <v>17</v>
      </c>
      <c r="B704" t="s">
        <v>18</v>
      </c>
      <c r="C704" t="s">
        <v>37</v>
      </c>
      <c r="D704" t="s">
        <v>15</v>
      </c>
      <c r="E704">
        <v>2019</v>
      </c>
      <c r="F704" t="s">
        <v>27</v>
      </c>
      <c r="G704" t="s">
        <v>39</v>
      </c>
      <c r="H704">
        <v>5</v>
      </c>
      <c r="I704">
        <v>1012.35</v>
      </c>
      <c r="J704" t="s">
        <v>36</v>
      </c>
      <c r="K704" s="3">
        <v>43613</v>
      </c>
      <c r="L704" t="s">
        <v>50</v>
      </c>
      <c r="M704" t="s">
        <v>416</v>
      </c>
      <c r="N704" s="6">
        <f>IF(Tabela5[[#This Row],[Dim_Cenario'[Nome Cenario']]]=Tabela5[[#Headers],[INIC Atual]],Tabela5[[#This Row],['[Valores_cenario']]],0)</f>
        <v>0</v>
      </c>
      <c r="O704" s="6">
        <f>IF(Tabela5[[#This Row],[Dim_Cenario'[Nome Cenario']]]=Tabela5[[#Headers],[Revisado]],Tabela5[[#This Row],['[Valores_cenario']]],0)</f>
        <v>0</v>
      </c>
      <c r="P704" s="6">
        <f>IF(Tabela5[[#This Row],[Dim_Cenario'[Nome Cenario']]]=Tabela5[[#Headers],[Realizado]],Tabela5[[#This Row],['[Valores_cenario']]],0)</f>
        <v>1012.35</v>
      </c>
    </row>
    <row r="705" hidden="1" spans="1:16">
      <c r="A705" t="s">
        <v>17</v>
      </c>
      <c r="B705" t="s">
        <v>18</v>
      </c>
      <c r="C705" t="s">
        <v>96</v>
      </c>
      <c r="D705" t="s">
        <v>15</v>
      </c>
      <c r="E705">
        <v>2022</v>
      </c>
      <c r="F705" t="s">
        <v>25</v>
      </c>
      <c r="G705" t="s">
        <v>38</v>
      </c>
      <c r="H705">
        <v>3</v>
      </c>
      <c r="I705">
        <v>44847.9</v>
      </c>
      <c r="J705" t="s">
        <v>23</v>
      </c>
      <c r="K705" s="3">
        <v>44645</v>
      </c>
      <c r="L705" t="s">
        <v>417</v>
      </c>
      <c r="M705" t="s">
        <v>418</v>
      </c>
      <c r="N705" s="6">
        <f>IF(Tabela5[[#This Row],[Dim_Cenario'[Nome Cenario']]]=Tabela5[[#Headers],[INIC Atual]],Tabela5[[#This Row],['[Valores_cenario']]],0)</f>
        <v>0</v>
      </c>
      <c r="O705" s="6">
        <f>IF(Tabela5[[#This Row],[Dim_Cenario'[Nome Cenario']]]=Tabela5[[#Headers],[Revisado]],Tabela5[[#This Row],['[Valores_cenario']]],0)</f>
        <v>0</v>
      </c>
      <c r="P705" s="6">
        <f>IF(Tabela5[[#This Row],[Dim_Cenario'[Nome Cenario']]]=Tabela5[[#Headers],[Realizado]],Tabela5[[#This Row],['[Valores_cenario']]],0)</f>
        <v>44847.9</v>
      </c>
    </row>
    <row r="706" spans="1:16">
      <c r="A706" t="s">
        <v>17</v>
      </c>
      <c r="B706" t="s">
        <v>18</v>
      </c>
      <c r="C706" t="s">
        <v>37</v>
      </c>
      <c r="D706" t="s">
        <v>15</v>
      </c>
      <c r="E706">
        <v>2019</v>
      </c>
      <c r="F706" t="s">
        <v>27</v>
      </c>
      <c r="G706" t="s">
        <v>39</v>
      </c>
      <c r="H706">
        <v>5</v>
      </c>
      <c r="I706">
        <v>1012.35</v>
      </c>
      <c r="J706" t="s">
        <v>36</v>
      </c>
      <c r="K706" s="3">
        <v>43615</v>
      </c>
      <c r="L706" t="s">
        <v>50</v>
      </c>
      <c r="M706" t="s">
        <v>416</v>
      </c>
      <c r="N706" s="6">
        <f>IF(Tabela5[[#This Row],[Dim_Cenario'[Nome Cenario']]]=Tabela5[[#Headers],[INIC Atual]],Tabela5[[#This Row],['[Valores_cenario']]],0)</f>
        <v>0</v>
      </c>
      <c r="O706" s="6">
        <f>IF(Tabela5[[#This Row],[Dim_Cenario'[Nome Cenario']]]=Tabela5[[#Headers],[Revisado]],Tabela5[[#This Row],['[Valores_cenario']]],0)</f>
        <v>0</v>
      </c>
      <c r="P706" s="6">
        <f>IF(Tabela5[[#This Row],[Dim_Cenario'[Nome Cenario']]]=Tabela5[[#Headers],[Realizado]],Tabela5[[#This Row],['[Valores_cenario']]],0)</f>
        <v>1012.35</v>
      </c>
    </row>
    <row r="707" hidden="1" spans="1:16">
      <c r="A707" t="s">
        <v>17</v>
      </c>
      <c r="B707" t="s">
        <v>18</v>
      </c>
      <c r="C707" t="s">
        <v>96</v>
      </c>
      <c r="D707" t="s">
        <v>15</v>
      </c>
      <c r="E707">
        <v>2022</v>
      </c>
      <c r="F707" t="s">
        <v>25</v>
      </c>
      <c r="G707" t="s">
        <v>38</v>
      </c>
      <c r="H707">
        <v>3</v>
      </c>
      <c r="I707">
        <v>30073.5</v>
      </c>
      <c r="J707" t="s">
        <v>23</v>
      </c>
      <c r="K707" s="3">
        <v>44650</v>
      </c>
      <c r="L707" t="s">
        <v>417</v>
      </c>
      <c r="M707" t="s">
        <v>419</v>
      </c>
      <c r="N707" s="6">
        <f>IF(Tabela5[[#This Row],[Dim_Cenario'[Nome Cenario']]]=Tabela5[[#Headers],[INIC Atual]],Tabela5[[#This Row],['[Valores_cenario']]],0)</f>
        <v>0</v>
      </c>
      <c r="O707" s="6">
        <f>IF(Tabela5[[#This Row],[Dim_Cenario'[Nome Cenario']]]=Tabela5[[#Headers],[Revisado]],Tabela5[[#This Row],['[Valores_cenario']]],0)</f>
        <v>0</v>
      </c>
      <c r="P707" s="6">
        <f>IF(Tabela5[[#This Row],[Dim_Cenario'[Nome Cenario']]]=Tabela5[[#Headers],[Realizado]],Tabela5[[#This Row],['[Valores_cenario']]],0)</f>
        <v>30073.5</v>
      </c>
    </row>
    <row r="708" hidden="1" spans="1:16">
      <c r="A708" t="s">
        <v>17</v>
      </c>
      <c r="B708" t="s">
        <v>18</v>
      </c>
      <c r="C708" t="s">
        <v>19</v>
      </c>
      <c r="D708" t="s">
        <v>15</v>
      </c>
      <c r="E708">
        <v>2022</v>
      </c>
      <c r="F708" t="s">
        <v>25</v>
      </c>
      <c r="G708" t="s">
        <v>38</v>
      </c>
      <c r="H708">
        <v>3</v>
      </c>
      <c r="I708">
        <v>6625</v>
      </c>
      <c r="J708" t="s">
        <v>23</v>
      </c>
      <c r="K708" s="3">
        <v>44651</v>
      </c>
      <c r="L708" t="s">
        <v>50</v>
      </c>
      <c r="M708" t="s">
        <v>420</v>
      </c>
      <c r="N708" s="6">
        <f>IF(Tabela5[[#This Row],[Dim_Cenario'[Nome Cenario']]]=Tabela5[[#Headers],[INIC Atual]],Tabela5[[#This Row],['[Valores_cenario']]],0)</f>
        <v>0</v>
      </c>
      <c r="O708" s="6">
        <f>IF(Tabela5[[#This Row],[Dim_Cenario'[Nome Cenario']]]=Tabela5[[#Headers],[Revisado]],Tabela5[[#This Row],['[Valores_cenario']]],0)</f>
        <v>0</v>
      </c>
      <c r="P708" s="6">
        <f>IF(Tabela5[[#This Row],[Dim_Cenario'[Nome Cenario']]]=Tabela5[[#Headers],[Realizado]],Tabela5[[#This Row],['[Valores_cenario']]],0)</f>
        <v>6625</v>
      </c>
    </row>
    <row r="709" hidden="1" spans="1:16">
      <c r="A709" t="s">
        <v>97</v>
      </c>
      <c r="B709" t="s">
        <v>18</v>
      </c>
      <c r="C709" t="s">
        <v>98</v>
      </c>
      <c r="D709" t="s">
        <v>15</v>
      </c>
      <c r="E709">
        <v>2022</v>
      </c>
      <c r="F709" t="s">
        <v>25</v>
      </c>
      <c r="G709" t="s">
        <v>38</v>
      </c>
      <c r="H709">
        <v>3</v>
      </c>
      <c r="I709">
        <v>873</v>
      </c>
      <c r="J709" t="s">
        <v>23</v>
      </c>
      <c r="K709" s="3">
        <v>44651</v>
      </c>
      <c r="L709" t="s">
        <v>409</v>
      </c>
      <c r="M709" t="s">
        <v>421</v>
      </c>
      <c r="N709" s="6">
        <f>IF(Tabela5[[#This Row],[Dim_Cenario'[Nome Cenario']]]=Tabela5[[#Headers],[INIC Atual]],Tabela5[[#This Row],['[Valores_cenario']]],0)</f>
        <v>0</v>
      </c>
      <c r="O709" s="6">
        <f>IF(Tabela5[[#This Row],[Dim_Cenario'[Nome Cenario']]]=Tabela5[[#Headers],[Revisado]],Tabela5[[#This Row],['[Valores_cenario']]],0)</f>
        <v>0</v>
      </c>
      <c r="P709" s="6">
        <f>IF(Tabela5[[#This Row],[Dim_Cenario'[Nome Cenario']]]=Tabela5[[#Headers],[Realizado]],Tabela5[[#This Row],['[Valores_cenario']]],0)</f>
        <v>873</v>
      </c>
    </row>
    <row r="710" spans="1:16">
      <c r="A710" t="s">
        <v>17</v>
      </c>
      <c r="B710" t="s">
        <v>18</v>
      </c>
      <c r="C710" t="s">
        <v>37</v>
      </c>
      <c r="D710" t="s">
        <v>15</v>
      </c>
      <c r="E710">
        <v>2025</v>
      </c>
      <c r="F710" t="s">
        <v>21</v>
      </c>
      <c r="G710" t="s">
        <v>22</v>
      </c>
      <c r="H710">
        <v>10</v>
      </c>
      <c r="I710">
        <v>955.08</v>
      </c>
      <c r="J710" t="s">
        <v>33</v>
      </c>
      <c r="K710" s="3">
        <v>45961</v>
      </c>
      <c r="L710" t="s">
        <v>50</v>
      </c>
      <c r="M710" t="s">
        <v>422</v>
      </c>
      <c r="N710" s="6">
        <f>IF(Tabela5[[#This Row],[Dim_Cenario'[Nome Cenario']]]=Tabela5[[#Headers],[INIC Atual]],Tabela5[[#This Row],['[Valores_cenario']]],0)</f>
        <v>0</v>
      </c>
      <c r="O710" s="6">
        <f>IF(Tabela5[[#This Row],[Dim_Cenario'[Nome Cenario']]]=Tabela5[[#Headers],[Revisado]],Tabela5[[#This Row],['[Valores_cenario']]],0)</f>
        <v>0</v>
      </c>
      <c r="P710" s="6">
        <f>IF(Tabela5[[#This Row],[Dim_Cenario'[Nome Cenario']]]=Tabela5[[#Headers],[Realizado]],Tabela5[[#This Row],['[Valores_cenario']]],0)</f>
        <v>955.08</v>
      </c>
    </row>
    <row r="711" hidden="1" spans="1:16">
      <c r="A711" t="s">
        <v>17</v>
      </c>
      <c r="B711" t="s">
        <v>18</v>
      </c>
      <c r="C711" t="s">
        <v>19</v>
      </c>
      <c r="D711" t="s">
        <v>15</v>
      </c>
      <c r="E711">
        <v>2022</v>
      </c>
      <c r="F711" t="s">
        <v>27</v>
      </c>
      <c r="G711" t="s">
        <v>28</v>
      </c>
      <c r="H711">
        <v>4</v>
      </c>
      <c r="I711">
        <v>6625</v>
      </c>
      <c r="J711" t="s">
        <v>23</v>
      </c>
      <c r="K711" s="3">
        <v>44656</v>
      </c>
      <c r="L711" t="s">
        <v>412</v>
      </c>
      <c r="M711" t="s">
        <v>423</v>
      </c>
      <c r="N711" s="6">
        <f>IF(Tabela5[[#This Row],[Dim_Cenario'[Nome Cenario']]]=Tabela5[[#Headers],[INIC Atual]],Tabela5[[#This Row],['[Valores_cenario']]],0)</f>
        <v>0</v>
      </c>
      <c r="O711" s="6">
        <f>IF(Tabela5[[#This Row],[Dim_Cenario'[Nome Cenario']]]=Tabela5[[#Headers],[Revisado]],Tabela5[[#This Row],['[Valores_cenario']]],0)</f>
        <v>0</v>
      </c>
      <c r="P711" s="6">
        <f>IF(Tabela5[[#This Row],[Dim_Cenario'[Nome Cenario']]]=Tabela5[[#Headers],[Realizado]],Tabela5[[#This Row],['[Valores_cenario']]],0)</f>
        <v>6625</v>
      </c>
    </row>
    <row r="712" hidden="1" spans="1:16">
      <c r="A712" t="s">
        <v>17</v>
      </c>
      <c r="B712" t="s">
        <v>18</v>
      </c>
      <c r="C712" t="s">
        <v>19</v>
      </c>
      <c r="D712" t="s">
        <v>15</v>
      </c>
      <c r="E712">
        <v>2022</v>
      </c>
      <c r="F712" t="s">
        <v>27</v>
      </c>
      <c r="G712" t="s">
        <v>28</v>
      </c>
      <c r="H712">
        <v>4</v>
      </c>
      <c r="I712">
        <v>-6625</v>
      </c>
      <c r="J712" t="s">
        <v>23</v>
      </c>
      <c r="K712" s="3">
        <v>44662</v>
      </c>
      <c r="L712" t="s">
        <v>50</v>
      </c>
      <c r="M712" t="s">
        <v>420</v>
      </c>
      <c r="N712" s="6">
        <f>IF(Tabela5[[#This Row],[Dim_Cenario'[Nome Cenario']]]=Tabela5[[#Headers],[INIC Atual]],Tabela5[[#This Row],['[Valores_cenario']]],0)</f>
        <v>0</v>
      </c>
      <c r="O712" s="6">
        <f>IF(Tabela5[[#This Row],[Dim_Cenario'[Nome Cenario']]]=Tabela5[[#Headers],[Revisado]],Tabela5[[#This Row],['[Valores_cenario']]],0)</f>
        <v>0</v>
      </c>
      <c r="P712" s="6">
        <f>IF(Tabela5[[#This Row],[Dim_Cenario'[Nome Cenario']]]=Tabela5[[#Headers],[Realizado]],Tabela5[[#This Row],['[Valores_cenario']]],0)</f>
        <v>-6625</v>
      </c>
    </row>
    <row r="713" hidden="1" spans="1:16">
      <c r="A713" t="s">
        <v>17</v>
      </c>
      <c r="B713" t="s">
        <v>18</v>
      </c>
      <c r="C713" t="s">
        <v>37</v>
      </c>
      <c r="D713" t="s">
        <v>15</v>
      </c>
      <c r="E713">
        <v>2024</v>
      </c>
      <c r="F713" t="s">
        <v>25</v>
      </c>
      <c r="G713" t="s">
        <v>38</v>
      </c>
      <c r="H713">
        <v>3</v>
      </c>
      <c r="I713">
        <v>55028.89</v>
      </c>
      <c r="J713" t="s">
        <v>23</v>
      </c>
      <c r="K713" s="3">
        <v>45363</v>
      </c>
      <c r="L713" t="s">
        <v>424</v>
      </c>
      <c r="M713" t="s">
        <v>425</v>
      </c>
      <c r="N713" s="6">
        <f>IF(Tabela5[[#This Row],[Dim_Cenario'[Nome Cenario']]]=Tabela5[[#Headers],[INIC Atual]],Tabela5[[#This Row],['[Valores_cenario']]],0)</f>
        <v>0</v>
      </c>
      <c r="O713" s="6">
        <f>IF(Tabela5[[#This Row],[Dim_Cenario'[Nome Cenario']]]=Tabela5[[#Headers],[Revisado]],Tabela5[[#This Row],['[Valores_cenario']]],0)</f>
        <v>0</v>
      </c>
      <c r="P713" s="6">
        <f>IF(Tabela5[[#This Row],[Dim_Cenario'[Nome Cenario']]]=Tabela5[[#Headers],[Realizado]],Tabela5[[#This Row],['[Valores_cenario']]],0)</f>
        <v>55028.89</v>
      </c>
    </row>
    <row r="714" spans="1:16">
      <c r="A714" t="s">
        <v>17</v>
      </c>
      <c r="B714" t="s">
        <v>18</v>
      </c>
      <c r="C714" t="s">
        <v>37</v>
      </c>
      <c r="D714" t="s">
        <v>15</v>
      </c>
      <c r="E714">
        <v>2022</v>
      </c>
      <c r="F714" t="s">
        <v>27</v>
      </c>
      <c r="G714" t="s">
        <v>29</v>
      </c>
      <c r="H714">
        <v>6</v>
      </c>
      <c r="I714">
        <v>912</v>
      </c>
      <c r="J714" t="s">
        <v>23</v>
      </c>
      <c r="K714" s="3">
        <v>44741</v>
      </c>
      <c r="L714" t="s">
        <v>426</v>
      </c>
      <c r="M714" t="s">
        <v>427</v>
      </c>
      <c r="N714" s="6">
        <f>IF(Tabela5[[#This Row],[Dim_Cenario'[Nome Cenario']]]=Tabela5[[#Headers],[INIC Atual]],Tabela5[[#This Row],['[Valores_cenario']]],0)</f>
        <v>0</v>
      </c>
      <c r="O714" s="6">
        <f>IF(Tabela5[[#This Row],[Dim_Cenario'[Nome Cenario']]]=Tabela5[[#Headers],[Revisado]],Tabela5[[#This Row],['[Valores_cenario']]],0)</f>
        <v>0</v>
      </c>
      <c r="P714" s="6">
        <f>IF(Tabela5[[#This Row],[Dim_Cenario'[Nome Cenario']]]=Tabela5[[#Headers],[Realizado]],Tabela5[[#This Row],['[Valores_cenario']]],0)</f>
        <v>912</v>
      </c>
    </row>
    <row r="715" hidden="1" spans="1:16">
      <c r="A715" t="s">
        <v>17</v>
      </c>
      <c r="B715" t="s">
        <v>18</v>
      </c>
      <c r="C715" t="s">
        <v>96</v>
      </c>
      <c r="D715" t="s">
        <v>15</v>
      </c>
      <c r="E715">
        <v>2022</v>
      </c>
      <c r="F715" t="s">
        <v>27</v>
      </c>
      <c r="G715" t="s">
        <v>28</v>
      </c>
      <c r="H715">
        <v>4</v>
      </c>
      <c r="I715">
        <v>65021.4</v>
      </c>
      <c r="J715" t="s">
        <v>23</v>
      </c>
      <c r="K715" s="3">
        <v>44676</v>
      </c>
      <c r="L715" t="s">
        <v>417</v>
      </c>
      <c r="M715" t="s">
        <v>428</v>
      </c>
      <c r="N715" s="6">
        <f>IF(Tabela5[[#This Row],[Dim_Cenario'[Nome Cenario']]]=Tabela5[[#Headers],[INIC Atual]],Tabela5[[#This Row],['[Valores_cenario']]],0)</f>
        <v>0</v>
      </c>
      <c r="O715" s="6">
        <f>IF(Tabela5[[#This Row],[Dim_Cenario'[Nome Cenario']]]=Tabela5[[#Headers],[Revisado]],Tabela5[[#This Row],['[Valores_cenario']]],0)</f>
        <v>0</v>
      </c>
      <c r="P715" s="6">
        <f>IF(Tabela5[[#This Row],[Dim_Cenario'[Nome Cenario']]]=Tabela5[[#Headers],[Realizado]],Tabela5[[#This Row],['[Valores_cenario']]],0)</f>
        <v>65021.4</v>
      </c>
    </row>
    <row r="716" hidden="1" spans="1:16">
      <c r="A716" t="s">
        <v>17</v>
      </c>
      <c r="B716" t="s">
        <v>18</v>
      </c>
      <c r="C716" t="s">
        <v>96</v>
      </c>
      <c r="D716" t="s">
        <v>15</v>
      </c>
      <c r="E716">
        <v>2022</v>
      </c>
      <c r="F716" t="s">
        <v>27</v>
      </c>
      <c r="G716" t="s">
        <v>28</v>
      </c>
      <c r="H716">
        <v>4</v>
      </c>
      <c r="I716">
        <v>39710.7</v>
      </c>
      <c r="J716" t="s">
        <v>23</v>
      </c>
      <c r="K716" s="3">
        <v>44676</v>
      </c>
      <c r="L716" t="s">
        <v>417</v>
      </c>
      <c r="M716" t="s">
        <v>429</v>
      </c>
      <c r="N716" s="6">
        <f>IF(Tabela5[[#This Row],[Dim_Cenario'[Nome Cenario']]]=Tabela5[[#Headers],[INIC Atual]],Tabela5[[#This Row],['[Valores_cenario']]],0)</f>
        <v>0</v>
      </c>
      <c r="O716" s="6">
        <f>IF(Tabela5[[#This Row],[Dim_Cenario'[Nome Cenario']]]=Tabela5[[#Headers],[Revisado]],Tabela5[[#This Row],['[Valores_cenario']]],0)</f>
        <v>0</v>
      </c>
      <c r="P716" s="6">
        <f>IF(Tabela5[[#This Row],[Dim_Cenario'[Nome Cenario']]]=Tabela5[[#Headers],[Realizado]],Tabela5[[#This Row],['[Valores_cenario']]],0)</f>
        <v>39710.7</v>
      </c>
    </row>
    <row r="717" spans="1:16">
      <c r="A717" t="s">
        <v>17</v>
      </c>
      <c r="B717" t="s">
        <v>18</v>
      </c>
      <c r="C717" t="s">
        <v>37</v>
      </c>
      <c r="D717" t="s">
        <v>15</v>
      </c>
      <c r="E717">
        <v>2023</v>
      </c>
      <c r="F717" t="s">
        <v>27</v>
      </c>
      <c r="G717" t="s">
        <v>39</v>
      </c>
      <c r="H717">
        <v>5</v>
      </c>
      <c r="I717">
        <v>900.9</v>
      </c>
      <c r="J717" t="s">
        <v>23</v>
      </c>
      <c r="K717" s="3">
        <v>45069</v>
      </c>
      <c r="L717" t="s">
        <v>430</v>
      </c>
      <c r="M717" t="s">
        <v>431</v>
      </c>
      <c r="N717" s="6">
        <f>IF(Tabela5[[#This Row],[Dim_Cenario'[Nome Cenario']]]=Tabela5[[#Headers],[INIC Atual]],Tabela5[[#This Row],['[Valores_cenario']]],0)</f>
        <v>0</v>
      </c>
      <c r="O717" s="6">
        <f>IF(Tabela5[[#This Row],[Dim_Cenario'[Nome Cenario']]]=Tabela5[[#Headers],[Revisado]],Tabela5[[#This Row],['[Valores_cenario']]],0)</f>
        <v>0</v>
      </c>
      <c r="P717" s="6">
        <f>IF(Tabela5[[#This Row],[Dim_Cenario'[Nome Cenario']]]=Tabela5[[#Headers],[Realizado]],Tabela5[[#This Row],['[Valores_cenario']]],0)</f>
        <v>900.9</v>
      </c>
    </row>
    <row r="718" spans="1:16">
      <c r="A718" t="s">
        <v>17</v>
      </c>
      <c r="B718" t="s">
        <v>18</v>
      </c>
      <c r="C718" t="s">
        <v>37</v>
      </c>
      <c r="D718" t="s">
        <v>15</v>
      </c>
      <c r="E718">
        <v>2024</v>
      </c>
      <c r="F718" t="s">
        <v>25</v>
      </c>
      <c r="G718" t="s">
        <v>35</v>
      </c>
      <c r="H718">
        <v>1</v>
      </c>
      <c r="I718">
        <v>860</v>
      </c>
      <c r="J718" t="s">
        <v>23</v>
      </c>
      <c r="K718" s="3">
        <v>45315</v>
      </c>
      <c r="L718" t="s">
        <v>432</v>
      </c>
      <c r="M718" t="s">
        <v>433</v>
      </c>
      <c r="N718" s="6">
        <f>IF(Tabela5[[#This Row],[Dim_Cenario'[Nome Cenario']]]=Tabela5[[#Headers],[INIC Atual]],Tabela5[[#This Row],['[Valores_cenario']]],0)</f>
        <v>0</v>
      </c>
      <c r="O718" s="6">
        <f>IF(Tabela5[[#This Row],[Dim_Cenario'[Nome Cenario']]]=Tabela5[[#Headers],[Revisado]],Tabela5[[#This Row],['[Valores_cenario']]],0)</f>
        <v>0</v>
      </c>
      <c r="P718" s="6">
        <f>IF(Tabela5[[#This Row],[Dim_Cenario'[Nome Cenario']]]=Tabela5[[#Headers],[Realizado]],Tabela5[[#This Row],['[Valores_cenario']]],0)</f>
        <v>860</v>
      </c>
    </row>
    <row r="719" hidden="1" spans="1:16">
      <c r="A719" t="s">
        <v>17</v>
      </c>
      <c r="B719" t="s">
        <v>18</v>
      </c>
      <c r="C719" t="s">
        <v>19</v>
      </c>
      <c r="D719" t="s">
        <v>15</v>
      </c>
      <c r="E719">
        <v>2022</v>
      </c>
      <c r="F719" t="s">
        <v>27</v>
      </c>
      <c r="G719" t="s">
        <v>39</v>
      </c>
      <c r="H719">
        <v>5</v>
      </c>
      <c r="I719">
        <v>15625</v>
      </c>
      <c r="J719" t="s">
        <v>23</v>
      </c>
      <c r="K719" s="3">
        <v>44690</v>
      </c>
      <c r="L719" t="s">
        <v>412</v>
      </c>
      <c r="M719" t="s">
        <v>434</v>
      </c>
      <c r="N719" s="6">
        <f>IF(Tabela5[[#This Row],[Dim_Cenario'[Nome Cenario']]]=Tabela5[[#Headers],[INIC Atual]],Tabela5[[#This Row],['[Valores_cenario']]],0)</f>
        <v>0</v>
      </c>
      <c r="O719" s="6">
        <f>IF(Tabela5[[#This Row],[Dim_Cenario'[Nome Cenario']]]=Tabela5[[#Headers],[Revisado]],Tabela5[[#This Row],['[Valores_cenario']]],0)</f>
        <v>0</v>
      </c>
      <c r="P719" s="6">
        <f>IF(Tabela5[[#This Row],[Dim_Cenario'[Nome Cenario']]]=Tabela5[[#Headers],[Realizado]],Tabela5[[#This Row],['[Valores_cenario']]],0)</f>
        <v>15625</v>
      </c>
    </row>
    <row r="720" spans="1:16">
      <c r="A720" t="s">
        <v>17</v>
      </c>
      <c r="B720" t="s">
        <v>92</v>
      </c>
      <c r="C720" t="s">
        <v>37</v>
      </c>
      <c r="D720" t="s">
        <v>15</v>
      </c>
      <c r="E720">
        <v>2022</v>
      </c>
      <c r="F720" t="s">
        <v>21</v>
      </c>
      <c r="G720" t="s">
        <v>22</v>
      </c>
      <c r="H720">
        <v>10</v>
      </c>
      <c r="I720">
        <v>828.99</v>
      </c>
      <c r="J720" t="s">
        <v>23</v>
      </c>
      <c r="K720" s="3">
        <v>44865</v>
      </c>
      <c r="M720" t="s">
        <v>435</v>
      </c>
      <c r="N720" s="6">
        <f>IF(Tabela5[[#This Row],[Dim_Cenario'[Nome Cenario']]]=Tabela5[[#Headers],[INIC Atual]],Tabela5[[#This Row],['[Valores_cenario']]],0)</f>
        <v>0</v>
      </c>
      <c r="O720" s="6">
        <f>IF(Tabela5[[#This Row],[Dim_Cenario'[Nome Cenario']]]=Tabela5[[#Headers],[Revisado]],Tabela5[[#This Row],['[Valores_cenario']]],0)</f>
        <v>0</v>
      </c>
      <c r="P720" s="6">
        <f>IF(Tabela5[[#This Row],[Dim_Cenario'[Nome Cenario']]]=Tabela5[[#Headers],[Realizado]],Tabela5[[#This Row],['[Valores_cenario']]],0)</f>
        <v>828.99</v>
      </c>
    </row>
    <row r="721" hidden="1" spans="1:16">
      <c r="A721" t="s">
        <v>17</v>
      </c>
      <c r="B721" t="s">
        <v>18</v>
      </c>
      <c r="C721" t="s">
        <v>19</v>
      </c>
      <c r="D721" t="s">
        <v>15</v>
      </c>
      <c r="E721">
        <v>2022</v>
      </c>
      <c r="F721" t="s">
        <v>27</v>
      </c>
      <c r="G721" t="s">
        <v>39</v>
      </c>
      <c r="H721">
        <v>5</v>
      </c>
      <c r="I721">
        <v>9000</v>
      </c>
      <c r="J721" t="s">
        <v>23</v>
      </c>
      <c r="K721" s="3">
        <v>44692</v>
      </c>
      <c r="L721" t="s">
        <v>412</v>
      </c>
      <c r="M721" t="s">
        <v>436</v>
      </c>
      <c r="N721" s="6">
        <f>IF(Tabela5[[#This Row],[Dim_Cenario'[Nome Cenario']]]=Tabela5[[#Headers],[INIC Atual]],Tabela5[[#This Row],['[Valores_cenario']]],0)</f>
        <v>0</v>
      </c>
      <c r="O721" s="6">
        <f>IF(Tabela5[[#This Row],[Dim_Cenario'[Nome Cenario']]]=Tabela5[[#Headers],[Revisado]],Tabela5[[#This Row],['[Valores_cenario']]],0)</f>
        <v>0</v>
      </c>
      <c r="P721" s="6">
        <f>IF(Tabela5[[#This Row],[Dim_Cenario'[Nome Cenario']]]=Tabela5[[#Headers],[Realizado]],Tabela5[[#This Row],['[Valores_cenario']]],0)</f>
        <v>9000</v>
      </c>
    </row>
    <row r="722" s="2" customFormat="1" hidden="1" spans="1:16">
      <c r="A722" s="2" t="s">
        <v>97</v>
      </c>
      <c r="B722" s="2" t="s">
        <v>18</v>
      </c>
      <c r="C722" s="2" t="s">
        <v>99</v>
      </c>
      <c r="D722" s="2" t="s">
        <v>15</v>
      </c>
      <c r="E722" s="2">
        <v>2022</v>
      </c>
      <c r="F722" s="2" t="s">
        <v>27</v>
      </c>
      <c r="G722" s="2" t="s">
        <v>39</v>
      </c>
      <c r="H722" s="2">
        <v>5</v>
      </c>
      <c r="I722" s="2">
        <v>108000</v>
      </c>
      <c r="J722" s="2" t="s">
        <v>23</v>
      </c>
      <c r="K722" s="10">
        <v>44694</v>
      </c>
      <c r="L722" s="2" t="s">
        <v>437</v>
      </c>
      <c r="M722" s="2" t="s">
        <v>438</v>
      </c>
      <c r="N722" s="11">
        <f>IF(Tabela5[[#This Row],[Dim_Cenario'[Nome Cenario']]]=Tabela5[[#Headers],[INIC Atual]],Tabela5[[#This Row],['[Valores_cenario']]],0)</f>
        <v>0</v>
      </c>
      <c r="O722" s="11">
        <f>IF(Tabela5[[#This Row],[Dim_Cenario'[Nome Cenario']]]=Tabela5[[#Headers],[Revisado]],Tabela5[[#This Row],['[Valores_cenario']]],0)</f>
        <v>0</v>
      </c>
      <c r="P722" s="11">
        <f>IF(Tabela5[[#This Row],[Dim_Cenario'[Nome Cenario']]]=Tabela5[[#Headers],[Realizado]],Tabela5[[#This Row],['[Valores_cenario']]],0)</f>
        <v>108000</v>
      </c>
    </row>
    <row r="723" spans="1:16">
      <c r="A723" t="s">
        <v>17</v>
      </c>
      <c r="B723" t="s">
        <v>18</v>
      </c>
      <c r="C723" t="s">
        <v>37</v>
      </c>
      <c r="D723" t="s">
        <v>15</v>
      </c>
      <c r="E723">
        <v>2022</v>
      </c>
      <c r="F723" t="s">
        <v>25</v>
      </c>
      <c r="G723" t="s">
        <v>35</v>
      </c>
      <c r="H723">
        <v>1</v>
      </c>
      <c r="I723">
        <v>774</v>
      </c>
      <c r="J723" t="s">
        <v>23</v>
      </c>
      <c r="K723" s="3">
        <v>44574</v>
      </c>
      <c r="L723" t="s">
        <v>439</v>
      </c>
      <c r="M723" t="s">
        <v>440</v>
      </c>
      <c r="N723" s="6">
        <f>IF(Tabela5[[#This Row],[Dim_Cenario'[Nome Cenario']]]=Tabela5[[#Headers],[INIC Atual]],Tabela5[[#This Row],['[Valores_cenario']]],0)</f>
        <v>0</v>
      </c>
      <c r="O723" s="6">
        <f>IF(Tabela5[[#This Row],[Dim_Cenario'[Nome Cenario']]]=Tabela5[[#Headers],[Revisado]],Tabela5[[#This Row],['[Valores_cenario']]],0)</f>
        <v>0</v>
      </c>
      <c r="P723" s="6">
        <f>IF(Tabela5[[#This Row],[Dim_Cenario'[Nome Cenario']]]=Tabela5[[#Headers],[Realizado]],Tabela5[[#This Row],['[Valores_cenario']]],0)</f>
        <v>774</v>
      </c>
    </row>
    <row r="724" hidden="1" spans="1:16">
      <c r="A724" t="s">
        <v>97</v>
      </c>
      <c r="B724" t="s">
        <v>18</v>
      </c>
      <c r="C724" t="s">
        <v>98</v>
      </c>
      <c r="D724" t="s">
        <v>15</v>
      </c>
      <c r="E724">
        <v>2022</v>
      </c>
      <c r="F724" t="s">
        <v>27</v>
      </c>
      <c r="G724" t="s">
        <v>39</v>
      </c>
      <c r="H724">
        <v>5</v>
      </c>
      <c r="I724">
        <v>5238</v>
      </c>
      <c r="J724" t="s">
        <v>23</v>
      </c>
      <c r="K724" s="3">
        <v>44712</v>
      </c>
      <c r="L724" t="s">
        <v>409</v>
      </c>
      <c r="M724" t="s">
        <v>441</v>
      </c>
      <c r="N724" s="6">
        <f>IF(Tabela5[[#This Row],[Dim_Cenario'[Nome Cenario']]]=Tabela5[[#Headers],[INIC Atual]],Tabela5[[#This Row],['[Valores_cenario']]],0)</f>
        <v>0</v>
      </c>
      <c r="O724" s="6">
        <f>IF(Tabela5[[#This Row],[Dim_Cenario'[Nome Cenario']]]=Tabela5[[#Headers],[Revisado]],Tabela5[[#This Row],['[Valores_cenario']]],0)</f>
        <v>0</v>
      </c>
      <c r="P724" s="6">
        <f>IF(Tabela5[[#This Row],[Dim_Cenario'[Nome Cenario']]]=Tabela5[[#Headers],[Realizado]],Tabela5[[#This Row],['[Valores_cenario']]],0)</f>
        <v>5238</v>
      </c>
    </row>
    <row r="725" spans="1:16">
      <c r="A725" t="s">
        <v>17</v>
      </c>
      <c r="B725" t="s">
        <v>18</v>
      </c>
      <c r="C725" t="s">
        <v>37</v>
      </c>
      <c r="D725" t="s">
        <v>15</v>
      </c>
      <c r="E725">
        <v>2021</v>
      </c>
      <c r="F725" t="s">
        <v>30</v>
      </c>
      <c r="G725" t="s">
        <v>41</v>
      </c>
      <c r="H725">
        <v>9</v>
      </c>
      <c r="I725">
        <v>700</v>
      </c>
      <c r="J725" t="s">
        <v>36</v>
      </c>
      <c r="K725" s="3">
        <v>44455</v>
      </c>
      <c r="L725" t="s">
        <v>442</v>
      </c>
      <c r="M725" t="s">
        <v>443</v>
      </c>
      <c r="N725" s="6">
        <f>IF(Tabela5[[#This Row],[Dim_Cenario'[Nome Cenario']]]=Tabela5[[#Headers],[INIC Atual]],Tabela5[[#This Row],['[Valores_cenario']]],0)</f>
        <v>0</v>
      </c>
      <c r="O725" s="6">
        <f>IF(Tabela5[[#This Row],[Dim_Cenario'[Nome Cenario']]]=Tabela5[[#Headers],[Revisado]],Tabela5[[#This Row],['[Valores_cenario']]],0)</f>
        <v>0</v>
      </c>
      <c r="P725" s="6">
        <f>IF(Tabela5[[#This Row],[Dim_Cenario'[Nome Cenario']]]=Tabela5[[#Headers],[Realizado]],Tabela5[[#This Row],['[Valores_cenario']]],0)</f>
        <v>700</v>
      </c>
    </row>
    <row r="726" spans="1:16">
      <c r="A726" t="s">
        <v>17</v>
      </c>
      <c r="B726" t="s">
        <v>18</v>
      </c>
      <c r="C726" t="s">
        <v>37</v>
      </c>
      <c r="D726" t="s">
        <v>15</v>
      </c>
      <c r="E726">
        <v>2022</v>
      </c>
      <c r="F726" t="s">
        <v>25</v>
      </c>
      <c r="G726" t="s">
        <v>38</v>
      </c>
      <c r="H726">
        <v>3</v>
      </c>
      <c r="I726">
        <v>653.6</v>
      </c>
      <c r="J726" t="s">
        <v>23</v>
      </c>
      <c r="K726" s="3">
        <v>44630</v>
      </c>
      <c r="L726" t="s">
        <v>444</v>
      </c>
      <c r="M726" t="s">
        <v>445</v>
      </c>
      <c r="N726" s="6">
        <f>IF(Tabela5[[#This Row],[Dim_Cenario'[Nome Cenario']]]=Tabela5[[#Headers],[INIC Atual]],Tabela5[[#This Row],['[Valores_cenario']]],0)</f>
        <v>0</v>
      </c>
      <c r="O726" s="6">
        <f>IF(Tabela5[[#This Row],[Dim_Cenario'[Nome Cenario']]]=Tabela5[[#Headers],[Revisado]],Tabela5[[#This Row],['[Valores_cenario']]],0)</f>
        <v>0</v>
      </c>
      <c r="P726" s="6">
        <f>IF(Tabela5[[#This Row],[Dim_Cenario'[Nome Cenario']]]=Tabela5[[#Headers],[Realizado]],Tabela5[[#This Row],['[Valores_cenario']]],0)</f>
        <v>653.6</v>
      </c>
    </row>
    <row r="727" hidden="1" spans="1:16">
      <c r="A727" t="s">
        <v>17</v>
      </c>
      <c r="B727" t="s">
        <v>18</v>
      </c>
      <c r="C727" t="s">
        <v>19</v>
      </c>
      <c r="D727" t="s">
        <v>15</v>
      </c>
      <c r="E727">
        <v>2022</v>
      </c>
      <c r="F727" t="s">
        <v>27</v>
      </c>
      <c r="G727" t="s">
        <v>29</v>
      </c>
      <c r="H727">
        <v>6</v>
      </c>
      <c r="I727">
        <v>3000</v>
      </c>
      <c r="J727" t="s">
        <v>23</v>
      </c>
      <c r="K727" s="3">
        <v>44735</v>
      </c>
      <c r="L727" t="s">
        <v>412</v>
      </c>
      <c r="M727" t="s">
        <v>446</v>
      </c>
      <c r="N727" s="6">
        <f>IF(Tabela5[[#This Row],[Dim_Cenario'[Nome Cenario']]]=Tabela5[[#Headers],[INIC Atual]],Tabela5[[#This Row],['[Valores_cenario']]],0)</f>
        <v>0</v>
      </c>
      <c r="O727" s="6">
        <f>IF(Tabela5[[#This Row],[Dim_Cenario'[Nome Cenario']]]=Tabela5[[#Headers],[Revisado]],Tabela5[[#This Row],['[Valores_cenario']]],0)</f>
        <v>0</v>
      </c>
      <c r="P727" s="6">
        <f>IF(Tabela5[[#This Row],[Dim_Cenario'[Nome Cenario']]]=Tabela5[[#Headers],[Realizado]],Tabela5[[#This Row],['[Valores_cenario']]],0)</f>
        <v>3000</v>
      </c>
    </row>
    <row r="728" spans="1:16">
      <c r="A728" t="s">
        <v>17</v>
      </c>
      <c r="B728" t="s">
        <v>18</v>
      </c>
      <c r="C728" t="s">
        <v>37</v>
      </c>
      <c r="D728" t="s">
        <v>15</v>
      </c>
      <c r="E728">
        <v>2021</v>
      </c>
      <c r="F728" t="s">
        <v>21</v>
      </c>
      <c r="G728" t="s">
        <v>32</v>
      </c>
      <c r="H728">
        <v>12</v>
      </c>
      <c r="I728">
        <v>619.2</v>
      </c>
      <c r="J728" t="s">
        <v>36</v>
      </c>
      <c r="K728" s="3">
        <v>44544</v>
      </c>
      <c r="L728" t="s">
        <v>447</v>
      </c>
      <c r="M728" t="s">
        <v>448</v>
      </c>
      <c r="N728" s="6">
        <f>IF(Tabela5[[#This Row],[Dim_Cenario'[Nome Cenario']]]=Tabela5[[#Headers],[INIC Atual]],Tabela5[[#This Row],['[Valores_cenario']]],0)</f>
        <v>0</v>
      </c>
      <c r="O728" s="6">
        <f>IF(Tabela5[[#This Row],[Dim_Cenario'[Nome Cenario']]]=Tabela5[[#Headers],[Revisado]],Tabela5[[#This Row],['[Valores_cenario']]],0)</f>
        <v>0</v>
      </c>
      <c r="P728" s="6">
        <f>IF(Tabela5[[#This Row],[Dim_Cenario'[Nome Cenario']]]=Tabela5[[#Headers],[Realizado]],Tabela5[[#This Row],['[Valores_cenario']]],0)</f>
        <v>619.2</v>
      </c>
    </row>
    <row r="729" spans="1:16">
      <c r="A729" t="s">
        <v>17</v>
      </c>
      <c r="B729" t="s">
        <v>18</v>
      </c>
      <c r="C729" t="s">
        <v>37</v>
      </c>
      <c r="D729" t="s">
        <v>15</v>
      </c>
      <c r="E729">
        <v>2022</v>
      </c>
      <c r="F729" t="s">
        <v>27</v>
      </c>
      <c r="G729" t="s">
        <v>29</v>
      </c>
      <c r="H729">
        <v>6</v>
      </c>
      <c r="I729">
        <v>560</v>
      </c>
      <c r="J729" t="s">
        <v>23</v>
      </c>
      <c r="K729" s="3">
        <v>44720</v>
      </c>
      <c r="L729" t="s">
        <v>449</v>
      </c>
      <c r="M729" t="s">
        <v>450</v>
      </c>
      <c r="N729" s="6">
        <f>IF(Tabela5[[#This Row],[Dim_Cenario'[Nome Cenario']]]=Tabela5[[#Headers],[INIC Atual]],Tabela5[[#This Row],['[Valores_cenario']]],0)</f>
        <v>0</v>
      </c>
      <c r="O729" s="6">
        <f>IF(Tabela5[[#This Row],[Dim_Cenario'[Nome Cenario']]]=Tabela5[[#Headers],[Revisado]],Tabela5[[#This Row],['[Valores_cenario']]],0)</f>
        <v>0</v>
      </c>
      <c r="P729" s="6">
        <f>IF(Tabela5[[#This Row],[Dim_Cenario'[Nome Cenario']]]=Tabela5[[#Headers],[Realizado]],Tabela5[[#This Row],['[Valores_cenario']]],0)</f>
        <v>560</v>
      </c>
    </row>
    <row r="730" hidden="1" spans="1:16">
      <c r="A730" t="s">
        <v>97</v>
      </c>
      <c r="B730" t="s">
        <v>18</v>
      </c>
      <c r="C730" t="s">
        <v>98</v>
      </c>
      <c r="D730" t="s">
        <v>15</v>
      </c>
      <c r="E730">
        <v>2022</v>
      </c>
      <c r="F730" t="s">
        <v>27</v>
      </c>
      <c r="G730" t="s">
        <v>29</v>
      </c>
      <c r="H730">
        <v>6</v>
      </c>
      <c r="I730">
        <v>3492</v>
      </c>
      <c r="J730" t="s">
        <v>23</v>
      </c>
      <c r="K730" s="3">
        <v>44742</v>
      </c>
      <c r="L730" t="s">
        <v>409</v>
      </c>
      <c r="M730" t="s">
        <v>451</v>
      </c>
      <c r="N730" s="6">
        <f>IF(Tabela5[[#This Row],[Dim_Cenario'[Nome Cenario']]]=Tabela5[[#Headers],[INIC Atual]],Tabela5[[#This Row],['[Valores_cenario']]],0)</f>
        <v>0</v>
      </c>
      <c r="O730" s="6">
        <f>IF(Tabela5[[#This Row],[Dim_Cenario'[Nome Cenario']]]=Tabela5[[#Headers],[Revisado]],Tabela5[[#This Row],['[Valores_cenario']]],0)</f>
        <v>0</v>
      </c>
      <c r="P730" s="6">
        <f>IF(Tabela5[[#This Row],[Dim_Cenario'[Nome Cenario']]]=Tabela5[[#Headers],[Realizado]],Tabela5[[#This Row],['[Valores_cenario']]],0)</f>
        <v>3492</v>
      </c>
    </row>
    <row r="731" hidden="1" spans="1:16">
      <c r="A731" t="s">
        <v>17</v>
      </c>
      <c r="B731" t="s">
        <v>18</v>
      </c>
      <c r="C731" t="s">
        <v>19</v>
      </c>
      <c r="D731" t="s">
        <v>15</v>
      </c>
      <c r="E731">
        <v>2022</v>
      </c>
      <c r="F731" t="s">
        <v>30</v>
      </c>
      <c r="G731" t="s">
        <v>40</v>
      </c>
      <c r="H731">
        <v>7</v>
      </c>
      <c r="I731">
        <v>3000</v>
      </c>
      <c r="J731" t="s">
        <v>23</v>
      </c>
      <c r="K731" s="3">
        <v>44748</v>
      </c>
      <c r="L731" t="s">
        <v>412</v>
      </c>
      <c r="M731" t="s">
        <v>452</v>
      </c>
      <c r="N731" s="6">
        <f>IF(Tabela5[[#This Row],[Dim_Cenario'[Nome Cenario']]]=Tabela5[[#Headers],[INIC Atual]],Tabela5[[#This Row],['[Valores_cenario']]],0)</f>
        <v>0</v>
      </c>
      <c r="O731" s="6">
        <f>IF(Tabela5[[#This Row],[Dim_Cenario'[Nome Cenario']]]=Tabela5[[#Headers],[Revisado]],Tabela5[[#This Row],['[Valores_cenario']]],0)</f>
        <v>0</v>
      </c>
      <c r="P731" s="6">
        <f>IF(Tabela5[[#This Row],[Dim_Cenario'[Nome Cenario']]]=Tabela5[[#Headers],[Realizado]],Tabela5[[#This Row],['[Valores_cenario']]],0)</f>
        <v>3000</v>
      </c>
    </row>
    <row r="732" spans="1:16">
      <c r="A732" t="s">
        <v>17</v>
      </c>
      <c r="B732" t="s">
        <v>18</v>
      </c>
      <c r="C732" t="s">
        <v>37</v>
      </c>
      <c r="D732" t="s">
        <v>15</v>
      </c>
      <c r="E732">
        <v>2025</v>
      </c>
      <c r="F732" t="s">
        <v>21</v>
      </c>
      <c r="G732" t="s">
        <v>22</v>
      </c>
      <c r="H732">
        <v>10</v>
      </c>
      <c r="I732">
        <v>560</v>
      </c>
      <c r="J732" t="s">
        <v>33</v>
      </c>
      <c r="K732" s="3">
        <v>45950</v>
      </c>
      <c r="L732" t="s">
        <v>453</v>
      </c>
      <c r="M732" t="s">
        <v>454</v>
      </c>
      <c r="N732" s="6">
        <f>IF(Tabela5[[#This Row],[Dim_Cenario'[Nome Cenario']]]=Tabela5[[#Headers],[INIC Atual]],Tabela5[[#This Row],['[Valores_cenario']]],0)</f>
        <v>0</v>
      </c>
      <c r="O732" s="6">
        <f>IF(Tabela5[[#This Row],[Dim_Cenario'[Nome Cenario']]]=Tabela5[[#Headers],[Revisado]],Tabela5[[#This Row],['[Valores_cenario']]],0)</f>
        <v>0</v>
      </c>
      <c r="P732" s="6">
        <f>IF(Tabela5[[#This Row],[Dim_Cenario'[Nome Cenario']]]=Tabela5[[#Headers],[Realizado]],Tabela5[[#This Row],['[Valores_cenario']]],0)</f>
        <v>560</v>
      </c>
    </row>
    <row r="733" spans="1:16">
      <c r="A733" t="s">
        <v>17</v>
      </c>
      <c r="B733" t="s">
        <v>18</v>
      </c>
      <c r="C733" t="s">
        <v>37</v>
      </c>
      <c r="D733" t="s">
        <v>15</v>
      </c>
      <c r="E733">
        <v>2020</v>
      </c>
      <c r="F733" t="s">
        <v>25</v>
      </c>
      <c r="G733" t="s">
        <v>35</v>
      </c>
      <c r="H733">
        <v>1</v>
      </c>
      <c r="I733">
        <v>488.7</v>
      </c>
      <c r="J733" t="s">
        <v>36</v>
      </c>
      <c r="K733" s="3">
        <v>43846</v>
      </c>
      <c r="L733" t="s">
        <v>50</v>
      </c>
      <c r="M733" t="s">
        <v>455</v>
      </c>
      <c r="N733" s="6">
        <f>IF(Tabela5[[#This Row],[Dim_Cenario'[Nome Cenario']]]=Tabela5[[#Headers],[INIC Atual]],Tabela5[[#This Row],['[Valores_cenario']]],0)</f>
        <v>0</v>
      </c>
      <c r="O733" s="6">
        <f>IF(Tabela5[[#This Row],[Dim_Cenario'[Nome Cenario']]]=Tabela5[[#Headers],[Revisado]],Tabela5[[#This Row],['[Valores_cenario']]],0)</f>
        <v>0</v>
      </c>
      <c r="P733" s="6">
        <f>IF(Tabela5[[#This Row],[Dim_Cenario'[Nome Cenario']]]=Tabela5[[#Headers],[Realizado]],Tabela5[[#This Row],['[Valores_cenario']]],0)</f>
        <v>488.7</v>
      </c>
    </row>
    <row r="734" spans="1:16">
      <c r="A734" t="s">
        <v>17</v>
      </c>
      <c r="B734" t="s">
        <v>18</v>
      </c>
      <c r="C734" t="s">
        <v>37</v>
      </c>
      <c r="D734" t="s">
        <v>15</v>
      </c>
      <c r="E734">
        <v>2022</v>
      </c>
      <c r="F734" t="s">
        <v>21</v>
      </c>
      <c r="G734" t="s">
        <v>24</v>
      </c>
      <c r="H734">
        <v>11</v>
      </c>
      <c r="I734">
        <v>475</v>
      </c>
      <c r="J734" t="s">
        <v>23</v>
      </c>
      <c r="K734" s="3">
        <v>44895</v>
      </c>
      <c r="L734" t="s">
        <v>456</v>
      </c>
      <c r="M734" t="s">
        <v>457</v>
      </c>
      <c r="N734" s="6">
        <f>IF(Tabela5[[#This Row],[Dim_Cenario'[Nome Cenario']]]=Tabela5[[#Headers],[INIC Atual]],Tabela5[[#This Row],['[Valores_cenario']]],0)</f>
        <v>0</v>
      </c>
      <c r="O734" s="6">
        <f>IF(Tabela5[[#This Row],[Dim_Cenario'[Nome Cenario']]]=Tabela5[[#Headers],[Revisado]],Tabela5[[#This Row],['[Valores_cenario']]],0)</f>
        <v>0</v>
      </c>
      <c r="P734" s="6">
        <f>IF(Tabela5[[#This Row],[Dim_Cenario'[Nome Cenario']]]=Tabela5[[#Headers],[Realizado]],Tabela5[[#This Row],['[Valores_cenario']]],0)</f>
        <v>475</v>
      </c>
    </row>
    <row r="735" spans="1:16">
      <c r="A735" t="s">
        <v>17</v>
      </c>
      <c r="B735" t="s">
        <v>18</v>
      </c>
      <c r="C735" t="s">
        <v>37</v>
      </c>
      <c r="D735" t="s">
        <v>15</v>
      </c>
      <c r="E735">
        <v>2024</v>
      </c>
      <c r="F735" t="s">
        <v>21</v>
      </c>
      <c r="G735" t="s">
        <v>22</v>
      </c>
      <c r="H735">
        <v>10</v>
      </c>
      <c r="I735">
        <v>429.66</v>
      </c>
      <c r="J735" t="s">
        <v>23</v>
      </c>
      <c r="K735" s="3">
        <v>45596</v>
      </c>
      <c r="L735" t="s">
        <v>50</v>
      </c>
      <c r="M735" t="s">
        <v>458</v>
      </c>
      <c r="N735" s="6">
        <f>IF(Tabela5[[#This Row],[Dim_Cenario'[Nome Cenario']]]=Tabela5[[#Headers],[INIC Atual]],Tabela5[[#This Row],['[Valores_cenario']]],0)</f>
        <v>0</v>
      </c>
      <c r="O735" s="6">
        <f>IF(Tabela5[[#This Row],[Dim_Cenario'[Nome Cenario']]]=Tabela5[[#Headers],[Revisado]],Tabela5[[#This Row],['[Valores_cenario']]],0)</f>
        <v>0</v>
      </c>
      <c r="P735" s="6">
        <f>IF(Tabela5[[#This Row],[Dim_Cenario'[Nome Cenario']]]=Tabela5[[#Headers],[Realizado]],Tabela5[[#This Row],['[Valores_cenario']]],0)</f>
        <v>429.66</v>
      </c>
    </row>
    <row r="736" spans="1:16">
      <c r="A736" t="s">
        <v>17</v>
      </c>
      <c r="B736" t="s">
        <v>18</v>
      </c>
      <c r="C736" t="s">
        <v>37</v>
      </c>
      <c r="D736" t="s">
        <v>15</v>
      </c>
      <c r="E736">
        <v>2023</v>
      </c>
      <c r="F736" t="s">
        <v>25</v>
      </c>
      <c r="G736" t="s">
        <v>26</v>
      </c>
      <c r="H736">
        <v>2</v>
      </c>
      <c r="I736">
        <v>420</v>
      </c>
      <c r="J736" t="s">
        <v>23</v>
      </c>
      <c r="K736" s="3">
        <v>44985</v>
      </c>
      <c r="L736" t="s">
        <v>459</v>
      </c>
      <c r="M736" t="s">
        <v>460</v>
      </c>
      <c r="N736" s="6">
        <f>IF(Tabela5[[#This Row],[Dim_Cenario'[Nome Cenario']]]=Tabela5[[#Headers],[INIC Atual]],Tabela5[[#This Row],['[Valores_cenario']]],0)</f>
        <v>0</v>
      </c>
      <c r="O736" s="6">
        <f>IF(Tabela5[[#This Row],[Dim_Cenario'[Nome Cenario']]]=Tabela5[[#Headers],[Revisado]],Tabela5[[#This Row],['[Valores_cenario']]],0)</f>
        <v>0</v>
      </c>
      <c r="P736" s="6">
        <f>IF(Tabela5[[#This Row],[Dim_Cenario'[Nome Cenario']]]=Tabela5[[#Headers],[Realizado]],Tabela5[[#This Row],['[Valores_cenario']]],0)</f>
        <v>420</v>
      </c>
    </row>
    <row r="737" spans="1:16">
      <c r="A737" t="s">
        <v>17</v>
      </c>
      <c r="B737" t="s">
        <v>18</v>
      </c>
      <c r="C737" t="s">
        <v>37</v>
      </c>
      <c r="D737" t="s">
        <v>15</v>
      </c>
      <c r="E737">
        <v>2023</v>
      </c>
      <c r="F737" t="s">
        <v>30</v>
      </c>
      <c r="G737" t="s">
        <v>40</v>
      </c>
      <c r="H737">
        <v>7</v>
      </c>
      <c r="I737">
        <v>420</v>
      </c>
      <c r="J737" t="s">
        <v>23</v>
      </c>
      <c r="K737" s="3">
        <v>45109</v>
      </c>
      <c r="L737" t="s">
        <v>461</v>
      </c>
      <c r="M737" t="s">
        <v>462</v>
      </c>
      <c r="N737" s="6">
        <f>IF(Tabela5[[#This Row],[Dim_Cenario'[Nome Cenario']]]=Tabela5[[#Headers],[INIC Atual]],Tabela5[[#This Row],['[Valores_cenario']]],0)</f>
        <v>0</v>
      </c>
      <c r="O737" s="6">
        <f>IF(Tabela5[[#This Row],[Dim_Cenario'[Nome Cenario']]]=Tabela5[[#Headers],[Revisado]],Tabela5[[#This Row],['[Valores_cenario']]],0)</f>
        <v>0</v>
      </c>
      <c r="P737" s="6">
        <f>IF(Tabela5[[#This Row],[Dim_Cenario'[Nome Cenario']]]=Tabela5[[#Headers],[Realizado]],Tabela5[[#This Row],['[Valores_cenario']]],0)</f>
        <v>420</v>
      </c>
    </row>
    <row r="738" spans="1:16">
      <c r="A738" t="s">
        <v>17</v>
      </c>
      <c r="B738" t="s">
        <v>18</v>
      </c>
      <c r="C738" t="s">
        <v>37</v>
      </c>
      <c r="D738" t="s">
        <v>15</v>
      </c>
      <c r="E738">
        <v>2024</v>
      </c>
      <c r="F738" t="s">
        <v>25</v>
      </c>
      <c r="G738" t="s">
        <v>38</v>
      </c>
      <c r="H738">
        <v>3</v>
      </c>
      <c r="I738">
        <v>420</v>
      </c>
      <c r="J738" t="s">
        <v>23</v>
      </c>
      <c r="K738" s="3">
        <v>45353</v>
      </c>
      <c r="L738" t="s">
        <v>463</v>
      </c>
      <c r="M738" t="s">
        <v>464</v>
      </c>
      <c r="N738" s="6">
        <f>IF(Tabela5[[#This Row],[Dim_Cenario'[Nome Cenario']]]=Tabela5[[#Headers],[INIC Atual]],Tabela5[[#This Row],['[Valores_cenario']]],0)</f>
        <v>0</v>
      </c>
      <c r="O738" s="6">
        <f>IF(Tabela5[[#This Row],[Dim_Cenario'[Nome Cenario']]]=Tabela5[[#Headers],[Revisado]],Tabela5[[#This Row],['[Valores_cenario']]],0)</f>
        <v>0</v>
      </c>
      <c r="P738" s="6">
        <f>IF(Tabela5[[#This Row],[Dim_Cenario'[Nome Cenario']]]=Tabela5[[#Headers],[Realizado]],Tabela5[[#This Row],['[Valores_cenario']]],0)</f>
        <v>420</v>
      </c>
    </row>
    <row r="739" hidden="1" spans="1:16">
      <c r="A739" t="s">
        <v>17</v>
      </c>
      <c r="B739" t="s">
        <v>18</v>
      </c>
      <c r="C739" t="s">
        <v>37</v>
      </c>
      <c r="D739" t="s">
        <v>15</v>
      </c>
      <c r="E739">
        <v>2024</v>
      </c>
      <c r="F739" t="s">
        <v>30</v>
      </c>
      <c r="G739" t="s">
        <v>41</v>
      </c>
      <c r="H739">
        <v>9</v>
      </c>
      <c r="I739">
        <v>68988.78</v>
      </c>
      <c r="J739" t="s">
        <v>23</v>
      </c>
      <c r="K739" s="3">
        <v>45565</v>
      </c>
      <c r="L739" t="s">
        <v>465</v>
      </c>
      <c r="M739" t="s">
        <v>466</v>
      </c>
      <c r="N739" s="6">
        <f>IF(Tabela5[[#This Row],[Dim_Cenario'[Nome Cenario']]]=Tabela5[[#Headers],[INIC Atual]],Tabela5[[#This Row],['[Valores_cenario']]],0)</f>
        <v>0</v>
      </c>
      <c r="O739" s="6">
        <f>IF(Tabela5[[#This Row],[Dim_Cenario'[Nome Cenario']]]=Tabela5[[#Headers],[Revisado]],Tabela5[[#This Row],['[Valores_cenario']]],0)</f>
        <v>0</v>
      </c>
      <c r="P739" s="6">
        <f>IF(Tabela5[[#This Row],[Dim_Cenario'[Nome Cenario']]]=Tabela5[[#Headers],[Realizado]],Tabela5[[#This Row],['[Valores_cenario']]],0)</f>
        <v>68988.78</v>
      </c>
    </row>
    <row r="740" spans="1:16">
      <c r="A740" t="s">
        <v>17</v>
      </c>
      <c r="B740" t="s">
        <v>18</v>
      </c>
      <c r="C740" t="s">
        <v>37</v>
      </c>
      <c r="D740" t="s">
        <v>15</v>
      </c>
      <c r="E740">
        <v>2024</v>
      </c>
      <c r="F740" t="s">
        <v>21</v>
      </c>
      <c r="G740" t="s">
        <v>24</v>
      </c>
      <c r="H740">
        <v>11</v>
      </c>
      <c r="I740">
        <v>420</v>
      </c>
      <c r="J740" t="s">
        <v>23</v>
      </c>
      <c r="K740" s="3">
        <v>45602</v>
      </c>
      <c r="L740" t="s">
        <v>467</v>
      </c>
      <c r="M740" t="s">
        <v>468</v>
      </c>
      <c r="N740" s="6">
        <f>IF(Tabela5[[#This Row],[Dim_Cenario'[Nome Cenario']]]=Tabela5[[#Headers],[INIC Atual]],Tabela5[[#This Row],['[Valores_cenario']]],0)</f>
        <v>0</v>
      </c>
      <c r="O740" s="6">
        <f>IF(Tabela5[[#This Row],[Dim_Cenario'[Nome Cenario']]]=Tabela5[[#Headers],[Revisado]],Tabela5[[#This Row],['[Valores_cenario']]],0)</f>
        <v>0</v>
      </c>
      <c r="P740" s="6">
        <f>IF(Tabela5[[#This Row],[Dim_Cenario'[Nome Cenario']]]=Tabela5[[#Headers],[Realizado]],Tabela5[[#This Row],['[Valores_cenario']]],0)</f>
        <v>420</v>
      </c>
    </row>
    <row r="741" hidden="1" spans="1:16">
      <c r="A741" t="s">
        <v>17</v>
      </c>
      <c r="B741" t="s">
        <v>18</v>
      </c>
      <c r="C741" t="s">
        <v>37</v>
      </c>
      <c r="D741" t="s">
        <v>15</v>
      </c>
      <c r="E741">
        <v>2024</v>
      </c>
      <c r="F741" t="s">
        <v>21</v>
      </c>
      <c r="G741" t="s">
        <v>22</v>
      </c>
      <c r="H741">
        <v>10</v>
      </c>
      <c r="I741">
        <v>30000</v>
      </c>
      <c r="J741" t="s">
        <v>23</v>
      </c>
      <c r="K741" s="3">
        <v>45590</v>
      </c>
      <c r="L741" t="s">
        <v>469</v>
      </c>
      <c r="M741" t="s">
        <v>470</v>
      </c>
      <c r="N741" s="6">
        <f>IF(Tabela5[[#This Row],[Dim_Cenario'[Nome Cenario']]]=Tabela5[[#Headers],[INIC Atual]],Tabela5[[#This Row],['[Valores_cenario']]],0)</f>
        <v>0</v>
      </c>
      <c r="O741" s="6">
        <f>IF(Tabela5[[#This Row],[Dim_Cenario'[Nome Cenario']]]=Tabela5[[#Headers],[Revisado]],Tabela5[[#This Row],['[Valores_cenario']]],0)</f>
        <v>0</v>
      </c>
      <c r="P741" s="6">
        <f>IF(Tabela5[[#This Row],[Dim_Cenario'[Nome Cenario']]]=Tabela5[[#Headers],[Realizado]],Tabela5[[#This Row],['[Valores_cenario']]],0)</f>
        <v>30000</v>
      </c>
    </row>
    <row r="742" spans="1:16">
      <c r="A742" t="s">
        <v>17</v>
      </c>
      <c r="B742" t="s">
        <v>18</v>
      </c>
      <c r="C742" t="s">
        <v>37</v>
      </c>
      <c r="D742" t="s">
        <v>15</v>
      </c>
      <c r="E742">
        <v>2022</v>
      </c>
      <c r="F742" t="s">
        <v>21</v>
      </c>
      <c r="G742" t="s">
        <v>22</v>
      </c>
      <c r="H742">
        <v>10</v>
      </c>
      <c r="I742">
        <v>400</v>
      </c>
      <c r="J742" t="s">
        <v>23</v>
      </c>
      <c r="K742" s="3">
        <v>44862</v>
      </c>
      <c r="L742" t="s">
        <v>471</v>
      </c>
      <c r="M742" t="s">
        <v>472</v>
      </c>
      <c r="N742" s="6">
        <f>IF(Tabela5[[#This Row],[Dim_Cenario'[Nome Cenario']]]=Tabela5[[#Headers],[INIC Atual]],Tabela5[[#This Row],['[Valores_cenario']]],0)</f>
        <v>0</v>
      </c>
      <c r="O742" s="6">
        <f>IF(Tabela5[[#This Row],[Dim_Cenario'[Nome Cenario']]]=Tabela5[[#Headers],[Revisado]],Tabela5[[#This Row],['[Valores_cenario']]],0)</f>
        <v>0</v>
      </c>
      <c r="P742" s="6">
        <f>IF(Tabela5[[#This Row],[Dim_Cenario'[Nome Cenario']]]=Tabela5[[#Headers],[Realizado]],Tabela5[[#This Row],['[Valores_cenario']]],0)</f>
        <v>400</v>
      </c>
    </row>
    <row r="743" spans="1:16">
      <c r="A743" t="s">
        <v>17</v>
      </c>
      <c r="B743" t="s">
        <v>18</v>
      </c>
      <c r="C743" t="s">
        <v>37</v>
      </c>
      <c r="D743" t="s">
        <v>15</v>
      </c>
      <c r="E743">
        <v>2021</v>
      </c>
      <c r="F743" t="s">
        <v>25</v>
      </c>
      <c r="G743" t="s">
        <v>38</v>
      </c>
      <c r="H743">
        <v>3</v>
      </c>
      <c r="I743">
        <v>395.6</v>
      </c>
      <c r="J743" t="s">
        <v>36</v>
      </c>
      <c r="K743" s="3">
        <v>44284</v>
      </c>
      <c r="L743" t="s">
        <v>473</v>
      </c>
      <c r="M743" t="s">
        <v>474</v>
      </c>
      <c r="N743" s="6">
        <f>IF(Tabela5[[#This Row],[Dim_Cenario'[Nome Cenario']]]=Tabela5[[#Headers],[INIC Atual]],Tabela5[[#This Row],['[Valores_cenario']]],0)</f>
        <v>0</v>
      </c>
      <c r="O743" s="6">
        <f>IF(Tabela5[[#This Row],[Dim_Cenario'[Nome Cenario']]]=Tabela5[[#Headers],[Revisado]],Tabela5[[#This Row],['[Valores_cenario']]],0)</f>
        <v>0</v>
      </c>
      <c r="P743" s="6">
        <f>IF(Tabela5[[#This Row],[Dim_Cenario'[Nome Cenario']]]=Tabela5[[#Headers],[Realizado]],Tabela5[[#This Row],['[Valores_cenario']]],0)</f>
        <v>395.6</v>
      </c>
    </row>
    <row r="744" spans="1:16">
      <c r="A744" t="s">
        <v>17</v>
      </c>
      <c r="B744" t="s">
        <v>18</v>
      </c>
      <c r="C744" t="s">
        <v>37</v>
      </c>
      <c r="D744" t="s">
        <v>15</v>
      </c>
      <c r="E744">
        <v>2022</v>
      </c>
      <c r="F744" t="s">
        <v>27</v>
      </c>
      <c r="G744" t="s">
        <v>39</v>
      </c>
      <c r="H744">
        <v>5</v>
      </c>
      <c r="I744">
        <v>360</v>
      </c>
      <c r="J744" t="s">
        <v>23</v>
      </c>
      <c r="K744" s="3">
        <v>44690</v>
      </c>
      <c r="L744" t="s">
        <v>475</v>
      </c>
      <c r="M744" t="s">
        <v>476</v>
      </c>
      <c r="N744" s="6">
        <f>IF(Tabela5[[#This Row],[Dim_Cenario'[Nome Cenario']]]=Tabela5[[#Headers],[INIC Atual]],Tabela5[[#This Row],['[Valores_cenario']]],0)</f>
        <v>0</v>
      </c>
      <c r="O744" s="6">
        <f>IF(Tabela5[[#This Row],[Dim_Cenario'[Nome Cenario']]]=Tabela5[[#Headers],[Revisado]],Tabela5[[#This Row],['[Valores_cenario']]],0)</f>
        <v>0</v>
      </c>
      <c r="P744" s="6">
        <f>IF(Tabela5[[#This Row],[Dim_Cenario'[Nome Cenario']]]=Tabela5[[#Headers],[Realizado]],Tabela5[[#This Row],['[Valores_cenario']]],0)</f>
        <v>360</v>
      </c>
    </row>
    <row r="745" spans="1:16">
      <c r="A745" t="s">
        <v>17</v>
      </c>
      <c r="B745" t="s">
        <v>18</v>
      </c>
      <c r="C745" t="s">
        <v>37</v>
      </c>
      <c r="D745" t="s">
        <v>15</v>
      </c>
      <c r="E745">
        <v>2020</v>
      </c>
      <c r="F745" t="s">
        <v>30</v>
      </c>
      <c r="G745" t="s">
        <v>40</v>
      </c>
      <c r="H745">
        <v>7</v>
      </c>
      <c r="I745">
        <v>350</v>
      </c>
      <c r="J745" t="s">
        <v>36</v>
      </c>
      <c r="K745" s="3">
        <v>44019</v>
      </c>
      <c r="L745" t="s">
        <v>50</v>
      </c>
      <c r="M745" t="s">
        <v>477</v>
      </c>
      <c r="N745" s="6">
        <f>IF(Tabela5[[#This Row],[Dim_Cenario'[Nome Cenario']]]=Tabela5[[#Headers],[INIC Atual]],Tabela5[[#This Row],['[Valores_cenario']]],0)</f>
        <v>0</v>
      </c>
      <c r="O745" s="6">
        <f>IF(Tabela5[[#This Row],[Dim_Cenario'[Nome Cenario']]]=Tabela5[[#Headers],[Revisado]],Tabela5[[#This Row],['[Valores_cenario']]],0)</f>
        <v>0</v>
      </c>
      <c r="P745" s="6">
        <f>IF(Tabela5[[#This Row],[Dim_Cenario'[Nome Cenario']]]=Tabela5[[#Headers],[Realizado]],Tabela5[[#This Row],['[Valores_cenario']]],0)</f>
        <v>350</v>
      </c>
    </row>
    <row r="746" spans="1:16">
      <c r="A746" t="s">
        <v>17</v>
      </c>
      <c r="B746" t="s">
        <v>18</v>
      </c>
      <c r="C746" t="s">
        <v>37</v>
      </c>
      <c r="D746" t="s">
        <v>15</v>
      </c>
      <c r="E746">
        <v>2021</v>
      </c>
      <c r="F746" t="s">
        <v>30</v>
      </c>
      <c r="G746" t="s">
        <v>31</v>
      </c>
      <c r="H746">
        <v>8</v>
      </c>
      <c r="I746">
        <v>350</v>
      </c>
      <c r="J746" t="s">
        <v>36</v>
      </c>
      <c r="K746" s="3">
        <v>44427</v>
      </c>
      <c r="L746" t="s">
        <v>478</v>
      </c>
      <c r="M746" t="s">
        <v>479</v>
      </c>
      <c r="N746" s="6">
        <f>IF(Tabela5[[#This Row],[Dim_Cenario'[Nome Cenario']]]=Tabela5[[#Headers],[INIC Atual]],Tabela5[[#This Row],['[Valores_cenario']]],0)</f>
        <v>0</v>
      </c>
      <c r="O746" s="6">
        <f>IF(Tabela5[[#This Row],[Dim_Cenario'[Nome Cenario']]]=Tabela5[[#Headers],[Revisado]],Tabela5[[#This Row],['[Valores_cenario']]],0)</f>
        <v>0</v>
      </c>
      <c r="P746" s="6">
        <f>IF(Tabela5[[#This Row],[Dim_Cenario'[Nome Cenario']]]=Tabela5[[#Headers],[Realizado]],Tabela5[[#This Row],['[Valores_cenario']]],0)</f>
        <v>350</v>
      </c>
    </row>
    <row r="747" spans="1:16">
      <c r="A747" t="s">
        <v>17</v>
      </c>
      <c r="B747" t="s">
        <v>18</v>
      </c>
      <c r="C747" t="s">
        <v>37</v>
      </c>
      <c r="D747" t="s">
        <v>15</v>
      </c>
      <c r="E747">
        <v>2021</v>
      </c>
      <c r="F747" t="s">
        <v>30</v>
      </c>
      <c r="G747" t="s">
        <v>31</v>
      </c>
      <c r="H747">
        <v>8</v>
      </c>
      <c r="I747">
        <v>350</v>
      </c>
      <c r="J747" t="s">
        <v>36</v>
      </c>
      <c r="K747" s="3">
        <v>44433</v>
      </c>
      <c r="L747" t="s">
        <v>480</v>
      </c>
      <c r="M747" t="s">
        <v>481</v>
      </c>
      <c r="N747" s="6">
        <f>IF(Tabela5[[#This Row],[Dim_Cenario'[Nome Cenario']]]=Tabela5[[#Headers],[INIC Atual]],Tabela5[[#This Row],['[Valores_cenario']]],0)</f>
        <v>0</v>
      </c>
      <c r="O747" s="6">
        <f>IF(Tabela5[[#This Row],[Dim_Cenario'[Nome Cenario']]]=Tabela5[[#Headers],[Revisado]],Tabela5[[#This Row],['[Valores_cenario']]],0)</f>
        <v>0</v>
      </c>
      <c r="P747" s="6">
        <f>IF(Tabela5[[#This Row],[Dim_Cenario'[Nome Cenario']]]=Tabela5[[#Headers],[Realizado]],Tabela5[[#This Row],['[Valores_cenario']]],0)</f>
        <v>350</v>
      </c>
    </row>
    <row r="748" hidden="1" spans="1:16">
      <c r="A748" t="s">
        <v>97</v>
      </c>
      <c r="B748" t="s">
        <v>18</v>
      </c>
      <c r="C748" t="s">
        <v>98</v>
      </c>
      <c r="D748" t="s">
        <v>15</v>
      </c>
      <c r="E748">
        <v>2022</v>
      </c>
      <c r="F748" t="s">
        <v>21</v>
      </c>
      <c r="G748" t="s">
        <v>22</v>
      </c>
      <c r="H748">
        <v>10</v>
      </c>
      <c r="I748">
        <v>10476</v>
      </c>
      <c r="J748" t="s">
        <v>23</v>
      </c>
      <c r="K748" s="3">
        <v>44865</v>
      </c>
      <c r="L748" t="s">
        <v>409</v>
      </c>
      <c r="M748" t="s">
        <v>482</v>
      </c>
      <c r="N748" s="6">
        <f>IF(Tabela5[[#This Row],[Dim_Cenario'[Nome Cenario']]]=Tabela5[[#Headers],[INIC Atual]],Tabela5[[#This Row],['[Valores_cenario']]],0)</f>
        <v>0</v>
      </c>
      <c r="O748" s="6">
        <f>IF(Tabela5[[#This Row],[Dim_Cenario'[Nome Cenario']]]=Tabela5[[#Headers],[Revisado]],Tabela5[[#This Row],['[Valores_cenario']]],0)</f>
        <v>0</v>
      </c>
      <c r="P748" s="6">
        <f>IF(Tabela5[[#This Row],[Dim_Cenario'[Nome Cenario']]]=Tabela5[[#Headers],[Realizado]],Tabela5[[#This Row],['[Valores_cenario']]],0)</f>
        <v>10476</v>
      </c>
    </row>
    <row r="749" spans="1:16">
      <c r="A749" t="s">
        <v>17</v>
      </c>
      <c r="B749" t="s">
        <v>18</v>
      </c>
      <c r="C749" t="s">
        <v>37</v>
      </c>
      <c r="D749" t="s">
        <v>15</v>
      </c>
      <c r="E749">
        <v>2021</v>
      </c>
      <c r="F749" t="s">
        <v>21</v>
      </c>
      <c r="G749" t="s">
        <v>22</v>
      </c>
      <c r="H749">
        <v>10</v>
      </c>
      <c r="I749">
        <v>350</v>
      </c>
      <c r="J749" t="s">
        <v>36</v>
      </c>
      <c r="K749" s="3">
        <v>44498</v>
      </c>
      <c r="L749" t="s">
        <v>483</v>
      </c>
      <c r="M749" t="s">
        <v>484</v>
      </c>
      <c r="N749" s="6">
        <f>IF(Tabela5[[#This Row],[Dim_Cenario'[Nome Cenario']]]=Tabela5[[#Headers],[INIC Atual]],Tabela5[[#This Row],['[Valores_cenario']]],0)</f>
        <v>0</v>
      </c>
      <c r="O749" s="6">
        <f>IF(Tabela5[[#This Row],[Dim_Cenario'[Nome Cenario']]]=Tabela5[[#Headers],[Revisado]],Tabela5[[#This Row],['[Valores_cenario']]],0)</f>
        <v>0</v>
      </c>
      <c r="P749" s="6">
        <f>IF(Tabela5[[#This Row],[Dim_Cenario'[Nome Cenario']]]=Tabela5[[#Headers],[Realizado]],Tabela5[[#This Row],['[Valores_cenario']]],0)</f>
        <v>350</v>
      </c>
    </row>
    <row r="750" spans="1:16">
      <c r="A750" t="s">
        <v>17</v>
      </c>
      <c r="B750" t="s">
        <v>18</v>
      </c>
      <c r="C750" t="s">
        <v>37</v>
      </c>
      <c r="D750" t="s">
        <v>15</v>
      </c>
      <c r="E750">
        <v>2022</v>
      </c>
      <c r="F750" t="s">
        <v>25</v>
      </c>
      <c r="G750" t="s">
        <v>35</v>
      </c>
      <c r="H750">
        <v>1</v>
      </c>
      <c r="I750">
        <v>350</v>
      </c>
      <c r="J750" t="s">
        <v>23</v>
      </c>
      <c r="K750" s="3">
        <v>44572</v>
      </c>
      <c r="L750" t="s">
        <v>485</v>
      </c>
      <c r="M750" t="s">
        <v>486</v>
      </c>
      <c r="N750" s="6">
        <f>IF(Tabela5[[#This Row],[Dim_Cenario'[Nome Cenario']]]=Tabela5[[#Headers],[INIC Atual]],Tabela5[[#This Row],['[Valores_cenario']]],0)</f>
        <v>0</v>
      </c>
      <c r="O750" s="6">
        <f>IF(Tabela5[[#This Row],[Dim_Cenario'[Nome Cenario']]]=Tabela5[[#Headers],[Revisado]],Tabela5[[#This Row],['[Valores_cenario']]],0)</f>
        <v>0</v>
      </c>
      <c r="P750" s="6">
        <f>IF(Tabela5[[#This Row],[Dim_Cenario'[Nome Cenario']]]=Tabela5[[#Headers],[Realizado]],Tabela5[[#This Row],['[Valores_cenario']]],0)</f>
        <v>350</v>
      </c>
    </row>
    <row r="751" hidden="1" spans="1:16">
      <c r="A751" t="s">
        <v>17</v>
      </c>
      <c r="B751" t="s">
        <v>18</v>
      </c>
      <c r="C751" t="s">
        <v>96</v>
      </c>
      <c r="D751" t="s">
        <v>15</v>
      </c>
      <c r="E751">
        <v>2022</v>
      </c>
      <c r="F751" t="s">
        <v>21</v>
      </c>
      <c r="G751" t="s">
        <v>24</v>
      </c>
      <c r="H751">
        <v>11</v>
      </c>
      <c r="I751">
        <v>104707.17</v>
      </c>
      <c r="J751" t="s">
        <v>23</v>
      </c>
      <c r="K751" s="3">
        <v>44889</v>
      </c>
      <c r="L751" t="s">
        <v>487</v>
      </c>
      <c r="M751" t="s">
        <v>488</v>
      </c>
      <c r="N751" s="6">
        <f>IF(Tabela5[[#This Row],[Dim_Cenario'[Nome Cenario']]]=Tabela5[[#Headers],[INIC Atual]],Tabela5[[#This Row],['[Valores_cenario']]],0)</f>
        <v>0</v>
      </c>
      <c r="O751" s="6">
        <f>IF(Tabela5[[#This Row],[Dim_Cenario'[Nome Cenario']]]=Tabela5[[#Headers],[Revisado]],Tabela5[[#This Row],['[Valores_cenario']]],0)</f>
        <v>0</v>
      </c>
      <c r="P751" s="6">
        <f>IF(Tabela5[[#This Row],[Dim_Cenario'[Nome Cenario']]]=Tabela5[[#Headers],[Realizado]],Tabela5[[#This Row],['[Valores_cenario']]],0)</f>
        <v>104707.17</v>
      </c>
    </row>
    <row r="752" hidden="1" spans="1:16">
      <c r="A752" t="s">
        <v>17</v>
      </c>
      <c r="B752" t="s">
        <v>18</v>
      </c>
      <c r="C752" t="s">
        <v>19</v>
      </c>
      <c r="D752" t="s">
        <v>15</v>
      </c>
      <c r="E752">
        <v>2022</v>
      </c>
      <c r="F752" t="s">
        <v>21</v>
      </c>
      <c r="G752" t="s">
        <v>24</v>
      </c>
      <c r="H752">
        <v>11</v>
      </c>
      <c r="I752">
        <v>23000</v>
      </c>
      <c r="J752" t="s">
        <v>23</v>
      </c>
      <c r="K752" s="3">
        <v>44894</v>
      </c>
      <c r="L752" t="s">
        <v>489</v>
      </c>
      <c r="M752" t="s">
        <v>490</v>
      </c>
      <c r="N752" s="6">
        <f>IF(Tabela5[[#This Row],[Dim_Cenario'[Nome Cenario']]]=Tabela5[[#Headers],[INIC Atual]],Tabela5[[#This Row],['[Valores_cenario']]],0)</f>
        <v>0</v>
      </c>
      <c r="O752" s="6">
        <f>IF(Tabela5[[#This Row],[Dim_Cenario'[Nome Cenario']]]=Tabela5[[#Headers],[Revisado]],Tabela5[[#This Row],['[Valores_cenario']]],0)</f>
        <v>0</v>
      </c>
      <c r="P752" s="6">
        <f>IF(Tabela5[[#This Row],[Dim_Cenario'[Nome Cenario']]]=Tabela5[[#Headers],[Realizado]],Tabela5[[#This Row],['[Valores_cenario']]],0)</f>
        <v>23000</v>
      </c>
    </row>
    <row r="753" hidden="1" spans="1:16">
      <c r="A753" t="s">
        <v>17</v>
      </c>
      <c r="B753" t="s">
        <v>92</v>
      </c>
      <c r="C753" t="s">
        <v>37</v>
      </c>
      <c r="D753" t="s">
        <v>15</v>
      </c>
      <c r="E753">
        <v>2024</v>
      </c>
      <c r="F753" t="s">
        <v>21</v>
      </c>
      <c r="G753" t="s">
        <v>22</v>
      </c>
      <c r="H753">
        <v>10</v>
      </c>
      <c r="I753">
        <v>23767.38</v>
      </c>
      <c r="J753" t="s">
        <v>23</v>
      </c>
      <c r="K753" s="3">
        <v>45596</v>
      </c>
      <c r="M753" t="s">
        <v>491</v>
      </c>
      <c r="N753" s="6">
        <f>IF(Tabela5[[#This Row],[Dim_Cenario'[Nome Cenario']]]=Tabela5[[#Headers],[INIC Atual]],Tabela5[[#This Row],['[Valores_cenario']]],0)</f>
        <v>0</v>
      </c>
      <c r="O753" s="6">
        <f>IF(Tabela5[[#This Row],[Dim_Cenario'[Nome Cenario']]]=Tabela5[[#Headers],[Revisado]],Tabela5[[#This Row],['[Valores_cenario']]],0)</f>
        <v>0</v>
      </c>
      <c r="P753" s="6">
        <f>IF(Tabela5[[#This Row],[Dim_Cenario'[Nome Cenario']]]=Tabela5[[#Headers],[Realizado]],Tabela5[[#This Row],['[Valores_cenario']]],0)</f>
        <v>23767.38</v>
      </c>
    </row>
    <row r="754" spans="1:16">
      <c r="A754" t="s">
        <v>17</v>
      </c>
      <c r="B754" t="s">
        <v>18</v>
      </c>
      <c r="C754" t="s">
        <v>37</v>
      </c>
      <c r="D754" t="s">
        <v>15</v>
      </c>
      <c r="E754">
        <v>2022</v>
      </c>
      <c r="F754" t="s">
        <v>25</v>
      </c>
      <c r="G754" t="s">
        <v>35</v>
      </c>
      <c r="H754">
        <v>1</v>
      </c>
      <c r="I754">
        <v>350</v>
      </c>
      <c r="J754" t="s">
        <v>23</v>
      </c>
      <c r="K754" s="3">
        <v>44592</v>
      </c>
      <c r="L754" t="s">
        <v>492</v>
      </c>
      <c r="M754" t="s">
        <v>493</v>
      </c>
      <c r="N754" s="6">
        <f>IF(Tabela5[[#This Row],[Dim_Cenario'[Nome Cenario']]]=Tabela5[[#Headers],[INIC Atual]],Tabela5[[#This Row],['[Valores_cenario']]],0)</f>
        <v>0</v>
      </c>
      <c r="O754" s="6">
        <f>IF(Tabela5[[#This Row],[Dim_Cenario'[Nome Cenario']]]=Tabela5[[#Headers],[Revisado]],Tabela5[[#This Row],['[Valores_cenario']]],0)</f>
        <v>0</v>
      </c>
      <c r="P754" s="6">
        <f>IF(Tabela5[[#This Row],[Dim_Cenario'[Nome Cenario']]]=Tabela5[[#Headers],[Realizado]],Tabela5[[#This Row],['[Valores_cenario']]],0)</f>
        <v>350</v>
      </c>
    </row>
    <row r="755" spans="1:16">
      <c r="A755" t="s">
        <v>17</v>
      </c>
      <c r="B755" t="s">
        <v>18</v>
      </c>
      <c r="C755" t="s">
        <v>37</v>
      </c>
      <c r="D755" t="s">
        <v>15</v>
      </c>
      <c r="E755">
        <v>2022</v>
      </c>
      <c r="F755" t="s">
        <v>25</v>
      </c>
      <c r="G755" t="s">
        <v>38</v>
      </c>
      <c r="H755">
        <v>3</v>
      </c>
      <c r="I755">
        <v>350</v>
      </c>
      <c r="J755" t="s">
        <v>23</v>
      </c>
      <c r="K755" s="3">
        <v>44651</v>
      </c>
      <c r="L755" t="s">
        <v>494</v>
      </c>
      <c r="M755" t="s">
        <v>495</v>
      </c>
      <c r="N755" s="6">
        <f>IF(Tabela5[[#This Row],[Dim_Cenario'[Nome Cenario']]]=Tabela5[[#Headers],[INIC Atual]],Tabela5[[#This Row],['[Valores_cenario']]],0)</f>
        <v>0</v>
      </c>
      <c r="O755" s="6">
        <f>IF(Tabela5[[#This Row],[Dim_Cenario'[Nome Cenario']]]=Tabela5[[#Headers],[Revisado]],Tabela5[[#This Row],['[Valores_cenario']]],0)</f>
        <v>0</v>
      </c>
      <c r="P755" s="6">
        <f>IF(Tabela5[[#This Row],[Dim_Cenario'[Nome Cenario']]]=Tabela5[[#Headers],[Realizado]],Tabela5[[#This Row],['[Valores_cenario']]],0)</f>
        <v>350</v>
      </c>
    </row>
    <row r="756" hidden="1" spans="1:16">
      <c r="A756" t="s">
        <v>17</v>
      </c>
      <c r="B756" t="s">
        <v>18</v>
      </c>
      <c r="C756" t="s">
        <v>37</v>
      </c>
      <c r="D756" t="s">
        <v>20</v>
      </c>
      <c r="E756">
        <v>2025</v>
      </c>
      <c r="F756" t="s">
        <v>25</v>
      </c>
      <c r="G756" t="s">
        <v>35</v>
      </c>
      <c r="H756">
        <v>1</v>
      </c>
      <c r="I756">
        <v>31265.71</v>
      </c>
      <c r="J756" t="s">
        <v>33</v>
      </c>
      <c r="K756" s="3"/>
      <c r="N756" s="6">
        <f>IF(Tabela5[[#This Row],[Dim_Cenario'[Nome Cenario']]]=Tabela5[[#Headers],[INIC Atual]],Tabela5[[#This Row],['[Valores_cenario']]],0)</f>
        <v>31265.71</v>
      </c>
      <c r="O756" s="6">
        <f>IF(Tabela5[[#This Row],[Dim_Cenario'[Nome Cenario']]]=Tabela5[[#Headers],[Revisado]],Tabela5[[#This Row],['[Valores_cenario']]],0)</f>
        <v>0</v>
      </c>
      <c r="P756" s="6">
        <f>IF(Tabela5[[#This Row],[Dim_Cenario'[Nome Cenario']]]=Tabela5[[#Headers],[Realizado]],Tabela5[[#This Row],['[Valores_cenario']]],0)</f>
        <v>0</v>
      </c>
    </row>
    <row r="757" hidden="1" spans="1:16">
      <c r="A757" t="s">
        <v>17</v>
      </c>
      <c r="B757" t="s">
        <v>18</v>
      </c>
      <c r="C757" t="s">
        <v>37</v>
      </c>
      <c r="D757" t="s">
        <v>20</v>
      </c>
      <c r="E757">
        <v>2025</v>
      </c>
      <c r="F757" t="s">
        <v>25</v>
      </c>
      <c r="G757" t="s">
        <v>26</v>
      </c>
      <c r="H757">
        <v>2</v>
      </c>
      <c r="I757">
        <v>31265.71</v>
      </c>
      <c r="J757" t="s">
        <v>33</v>
      </c>
      <c r="K757" s="3"/>
      <c r="N757" s="6">
        <f>IF(Tabela5[[#This Row],[Dim_Cenario'[Nome Cenario']]]=Tabela5[[#Headers],[INIC Atual]],Tabela5[[#This Row],['[Valores_cenario']]],0)</f>
        <v>31265.71</v>
      </c>
      <c r="O757" s="6">
        <f>IF(Tabela5[[#This Row],[Dim_Cenario'[Nome Cenario']]]=Tabela5[[#Headers],[Revisado]],Tabela5[[#This Row],['[Valores_cenario']]],0)</f>
        <v>0</v>
      </c>
      <c r="P757" s="6">
        <f>IF(Tabela5[[#This Row],[Dim_Cenario'[Nome Cenario']]]=Tabela5[[#Headers],[Realizado]],Tabela5[[#This Row],['[Valores_cenario']]],0)</f>
        <v>0</v>
      </c>
    </row>
    <row r="758" hidden="1" spans="1:16">
      <c r="A758" t="s">
        <v>17</v>
      </c>
      <c r="B758" t="s">
        <v>18</v>
      </c>
      <c r="C758" t="s">
        <v>37</v>
      </c>
      <c r="D758" t="s">
        <v>20</v>
      </c>
      <c r="E758">
        <v>2025</v>
      </c>
      <c r="F758" t="s">
        <v>25</v>
      </c>
      <c r="G758" t="s">
        <v>38</v>
      </c>
      <c r="H758">
        <v>3</v>
      </c>
      <c r="I758">
        <v>31265.71</v>
      </c>
      <c r="J758" t="s">
        <v>33</v>
      </c>
      <c r="K758" s="3"/>
      <c r="N758" s="6">
        <f>IF(Tabela5[[#This Row],[Dim_Cenario'[Nome Cenario']]]=Tabela5[[#Headers],[INIC Atual]],Tabela5[[#This Row],['[Valores_cenario']]],0)</f>
        <v>31265.71</v>
      </c>
      <c r="O758" s="6">
        <f>IF(Tabela5[[#This Row],[Dim_Cenario'[Nome Cenario']]]=Tabela5[[#Headers],[Revisado]],Tabela5[[#This Row],['[Valores_cenario']]],0)</f>
        <v>0</v>
      </c>
      <c r="P758" s="6">
        <f>IF(Tabela5[[#This Row],[Dim_Cenario'[Nome Cenario']]]=Tabela5[[#Headers],[Realizado]],Tabela5[[#This Row],['[Valores_cenario']]],0)</f>
        <v>0</v>
      </c>
    </row>
    <row r="759" hidden="1" spans="1:16">
      <c r="A759" t="s">
        <v>17</v>
      </c>
      <c r="B759" t="s">
        <v>18</v>
      </c>
      <c r="C759" t="s">
        <v>37</v>
      </c>
      <c r="D759" t="s">
        <v>20</v>
      </c>
      <c r="E759">
        <v>2025</v>
      </c>
      <c r="F759" t="s">
        <v>27</v>
      </c>
      <c r="G759" t="s">
        <v>28</v>
      </c>
      <c r="H759">
        <v>4</v>
      </c>
      <c r="I759">
        <v>31265.71</v>
      </c>
      <c r="J759" t="s">
        <v>33</v>
      </c>
      <c r="K759" s="3"/>
      <c r="N759" s="6">
        <f>IF(Tabela5[[#This Row],[Dim_Cenario'[Nome Cenario']]]=Tabela5[[#Headers],[INIC Atual]],Tabela5[[#This Row],['[Valores_cenario']]],0)</f>
        <v>31265.71</v>
      </c>
      <c r="O759" s="6">
        <f>IF(Tabela5[[#This Row],[Dim_Cenario'[Nome Cenario']]]=Tabela5[[#Headers],[Revisado]],Tabela5[[#This Row],['[Valores_cenario']]],0)</f>
        <v>0</v>
      </c>
      <c r="P759" s="6">
        <f>IF(Tabela5[[#This Row],[Dim_Cenario'[Nome Cenario']]]=Tabela5[[#Headers],[Realizado]],Tabela5[[#This Row],['[Valores_cenario']]],0)</f>
        <v>0</v>
      </c>
    </row>
    <row r="760" hidden="1" spans="1:16">
      <c r="A760" t="s">
        <v>17</v>
      </c>
      <c r="B760" t="s">
        <v>18</v>
      </c>
      <c r="C760" t="s">
        <v>19</v>
      </c>
      <c r="D760" t="s">
        <v>15</v>
      </c>
      <c r="E760">
        <v>2022</v>
      </c>
      <c r="F760" t="s">
        <v>21</v>
      </c>
      <c r="G760" t="s">
        <v>32</v>
      </c>
      <c r="H760">
        <v>12</v>
      </c>
      <c r="I760">
        <v>81300</v>
      </c>
      <c r="J760" t="s">
        <v>23</v>
      </c>
      <c r="K760" s="3">
        <v>44910</v>
      </c>
      <c r="L760" t="s">
        <v>489</v>
      </c>
      <c r="M760" t="s">
        <v>496</v>
      </c>
      <c r="N760" s="6">
        <f>IF(Tabela5[[#This Row],[Dim_Cenario'[Nome Cenario']]]=Tabela5[[#Headers],[INIC Atual]],Tabela5[[#This Row],['[Valores_cenario']]],0)</f>
        <v>0</v>
      </c>
      <c r="O760" s="6">
        <f>IF(Tabela5[[#This Row],[Dim_Cenario'[Nome Cenario']]]=Tabela5[[#Headers],[Revisado]],Tabela5[[#This Row],['[Valores_cenario']]],0)</f>
        <v>0</v>
      </c>
      <c r="P760" s="6">
        <f>IF(Tabela5[[#This Row],[Dim_Cenario'[Nome Cenario']]]=Tabela5[[#Headers],[Realizado]],Tabela5[[#This Row],['[Valores_cenario']]],0)</f>
        <v>81300</v>
      </c>
    </row>
    <row r="761" hidden="1" spans="1:16">
      <c r="A761" t="s">
        <v>17</v>
      </c>
      <c r="B761" t="s">
        <v>18</v>
      </c>
      <c r="C761" t="s">
        <v>37</v>
      </c>
      <c r="D761" t="s">
        <v>20</v>
      </c>
      <c r="E761">
        <v>2025</v>
      </c>
      <c r="F761" t="s">
        <v>27</v>
      </c>
      <c r="G761" t="s">
        <v>39</v>
      </c>
      <c r="H761">
        <v>5</v>
      </c>
      <c r="I761">
        <v>31265.71</v>
      </c>
      <c r="J761" t="s">
        <v>33</v>
      </c>
      <c r="K761" s="3"/>
      <c r="N761" s="6">
        <f>IF(Tabela5[[#This Row],[Dim_Cenario'[Nome Cenario']]]=Tabela5[[#Headers],[INIC Atual]],Tabela5[[#This Row],['[Valores_cenario']]],0)</f>
        <v>31265.71</v>
      </c>
      <c r="O761" s="6">
        <f>IF(Tabela5[[#This Row],[Dim_Cenario'[Nome Cenario']]]=Tabela5[[#Headers],[Revisado]],Tabela5[[#This Row],['[Valores_cenario']]],0)</f>
        <v>0</v>
      </c>
      <c r="P761" s="6">
        <f>IF(Tabela5[[#This Row],[Dim_Cenario'[Nome Cenario']]]=Tabela5[[#Headers],[Realizado]],Tabela5[[#This Row],['[Valores_cenario']]],0)</f>
        <v>0</v>
      </c>
    </row>
    <row r="762" hidden="1" spans="1:16">
      <c r="A762" t="s">
        <v>17</v>
      </c>
      <c r="B762" t="s">
        <v>18</v>
      </c>
      <c r="C762" t="s">
        <v>37</v>
      </c>
      <c r="D762" t="s">
        <v>20</v>
      </c>
      <c r="E762">
        <v>2025</v>
      </c>
      <c r="F762" t="s">
        <v>27</v>
      </c>
      <c r="G762" t="s">
        <v>29</v>
      </c>
      <c r="H762">
        <v>6</v>
      </c>
      <c r="I762">
        <v>31265.71</v>
      </c>
      <c r="J762" t="s">
        <v>33</v>
      </c>
      <c r="K762" s="3"/>
      <c r="N762" s="6">
        <f>IF(Tabela5[[#This Row],[Dim_Cenario'[Nome Cenario']]]=Tabela5[[#Headers],[INIC Atual]],Tabela5[[#This Row],['[Valores_cenario']]],0)</f>
        <v>31265.71</v>
      </c>
      <c r="O762" s="6">
        <f>IF(Tabela5[[#This Row],[Dim_Cenario'[Nome Cenario']]]=Tabela5[[#Headers],[Revisado]],Tabela5[[#This Row],['[Valores_cenario']]],0)</f>
        <v>0</v>
      </c>
      <c r="P762" s="6">
        <f>IF(Tabela5[[#This Row],[Dim_Cenario'[Nome Cenario']]]=Tabela5[[#Headers],[Realizado]],Tabela5[[#This Row],['[Valores_cenario']]],0)</f>
        <v>0</v>
      </c>
    </row>
    <row r="763" hidden="1" spans="1:16">
      <c r="A763" t="s">
        <v>17</v>
      </c>
      <c r="B763" t="s">
        <v>18</v>
      </c>
      <c r="C763" t="s">
        <v>37</v>
      </c>
      <c r="D763" t="s">
        <v>20</v>
      </c>
      <c r="E763">
        <v>2025</v>
      </c>
      <c r="F763" t="s">
        <v>30</v>
      </c>
      <c r="G763" t="s">
        <v>40</v>
      </c>
      <c r="H763">
        <v>7</v>
      </c>
      <c r="I763">
        <v>67502.43</v>
      </c>
      <c r="J763" t="s">
        <v>33</v>
      </c>
      <c r="K763" s="3"/>
      <c r="N763" s="6">
        <f>IF(Tabela5[[#This Row],[Dim_Cenario'[Nome Cenario']]]=Tabela5[[#Headers],[INIC Atual]],Tabela5[[#This Row],['[Valores_cenario']]],0)</f>
        <v>67502.43</v>
      </c>
      <c r="O763" s="6">
        <f>IF(Tabela5[[#This Row],[Dim_Cenario'[Nome Cenario']]]=Tabela5[[#Headers],[Revisado]],Tabela5[[#This Row],['[Valores_cenario']]],0)</f>
        <v>0</v>
      </c>
      <c r="P763" s="6">
        <f>IF(Tabela5[[#This Row],[Dim_Cenario'[Nome Cenario']]]=Tabela5[[#Headers],[Realizado]],Tabela5[[#This Row],['[Valores_cenario']]],0)</f>
        <v>0</v>
      </c>
    </row>
    <row r="764" hidden="1" spans="1:16">
      <c r="A764" t="s">
        <v>97</v>
      </c>
      <c r="B764" t="s">
        <v>18</v>
      </c>
      <c r="C764" t="s">
        <v>98</v>
      </c>
      <c r="D764" t="s">
        <v>15</v>
      </c>
      <c r="E764">
        <v>2022</v>
      </c>
      <c r="F764" t="s">
        <v>21</v>
      </c>
      <c r="G764" t="s">
        <v>32</v>
      </c>
      <c r="H764">
        <v>12</v>
      </c>
      <c r="I764">
        <v>2619</v>
      </c>
      <c r="J764" t="s">
        <v>23</v>
      </c>
      <c r="K764" s="3">
        <v>44926</v>
      </c>
      <c r="L764" t="s">
        <v>50</v>
      </c>
      <c r="M764" t="s">
        <v>497</v>
      </c>
      <c r="N764" s="6">
        <f>IF(Tabela5[[#This Row],[Dim_Cenario'[Nome Cenario']]]=Tabela5[[#Headers],[INIC Atual]],Tabela5[[#This Row],['[Valores_cenario']]],0)</f>
        <v>0</v>
      </c>
      <c r="O764" s="6">
        <f>IF(Tabela5[[#This Row],[Dim_Cenario'[Nome Cenario']]]=Tabela5[[#Headers],[Revisado]],Tabela5[[#This Row],['[Valores_cenario']]],0)</f>
        <v>0</v>
      </c>
      <c r="P764" s="6">
        <f>IF(Tabela5[[#This Row],[Dim_Cenario'[Nome Cenario']]]=Tabela5[[#Headers],[Realizado]],Tabela5[[#This Row],['[Valores_cenario']]],0)</f>
        <v>2619</v>
      </c>
    </row>
    <row r="765" hidden="1" spans="1:16">
      <c r="A765" t="s">
        <v>97</v>
      </c>
      <c r="B765" t="s">
        <v>18</v>
      </c>
      <c r="C765" t="s">
        <v>98</v>
      </c>
      <c r="D765" t="s">
        <v>15</v>
      </c>
      <c r="E765">
        <v>2023</v>
      </c>
      <c r="F765" t="s">
        <v>25</v>
      </c>
      <c r="G765" t="s">
        <v>35</v>
      </c>
      <c r="H765">
        <v>1</v>
      </c>
      <c r="I765">
        <v>-2619</v>
      </c>
      <c r="J765" t="s">
        <v>23</v>
      </c>
      <c r="K765" s="3">
        <v>44927</v>
      </c>
      <c r="L765" t="s">
        <v>50</v>
      </c>
      <c r="M765" t="s">
        <v>497</v>
      </c>
      <c r="N765" s="6">
        <f>IF(Tabela5[[#This Row],[Dim_Cenario'[Nome Cenario']]]=Tabela5[[#Headers],[INIC Atual]],Tabela5[[#This Row],['[Valores_cenario']]],0)</f>
        <v>0</v>
      </c>
      <c r="O765" s="6">
        <f>IF(Tabela5[[#This Row],[Dim_Cenario'[Nome Cenario']]]=Tabela5[[#Headers],[Revisado]],Tabela5[[#This Row],['[Valores_cenario']]],0)</f>
        <v>0</v>
      </c>
      <c r="P765" s="6">
        <f>IF(Tabela5[[#This Row],[Dim_Cenario'[Nome Cenario']]]=Tabela5[[#Headers],[Realizado]],Tabela5[[#This Row],['[Valores_cenario']]],0)</f>
        <v>-2619</v>
      </c>
    </row>
    <row r="766" hidden="1" spans="1:16">
      <c r="A766" t="s">
        <v>97</v>
      </c>
      <c r="B766" t="s">
        <v>18</v>
      </c>
      <c r="C766" t="s">
        <v>98</v>
      </c>
      <c r="D766" t="s">
        <v>15</v>
      </c>
      <c r="E766">
        <v>2023</v>
      </c>
      <c r="F766" t="s">
        <v>25</v>
      </c>
      <c r="G766" t="s">
        <v>35</v>
      </c>
      <c r="H766">
        <v>1</v>
      </c>
      <c r="I766">
        <v>2619</v>
      </c>
      <c r="J766" t="s">
        <v>23</v>
      </c>
      <c r="K766" s="3">
        <v>44944</v>
      </c>
      <c r="L766" t="s">
        <v>409</v>
      </c>
      <c r="M766" t="s">
        <v>498</v>
      </c>
      <c r="N766" s="6">
        <f>IF(Tabela5[[#This Row],[Dim_Cenario'[Nome Cenario']]]=Tabela5[[#Headers],[INIC Atual]],Tabela5[[#This Row],['[Valores_cenario']]],0)</f>
        <v>0</v>
      </c>
      <c r="O766" s="6">
        <f>IF(Tabela5[[#This Row],[Dim_Cenario'[Nome Cenario']]]=Tabela5[[#Headers],[Revisado]],Tabela5[[#This Row],['[Valores_cenario']]],0)</f>
        <v>0</v>
      </c>
      <c r="P766" s="6">
        <f>IF(Tabela5[[#This Row],[Dim_Cenario'[Nome Cenario']]]=Tabela5[[#Headers],[Realizado]],Tabela5[[#This Row],['[Valores_cenario']]],0)</f>
        <v>2619</v>
      </c>
    </row>
    <row r="767" hidden="1" spans="1:16">
      <c r="A767" t="s">
        <v>17</v>
      </c>
      <c r="B767" t="s">
        <v>18</v>
      </c>
      <c r="C767" t="s">
        <v>19</v>
      </c>
      <c r="D767" t="s">
        <v>15</v>
      </c>
      <c r="E767">
        <v>2023</v>
      </c>
      <c r="F767" t="s">
        <v>25</v>
      </c>
      <c r="G767" t="s">
        <v>35</v>
      </c>
      <c r="H767">
        <v>1</v>
      </c>
      <c r="I767">
        <v>39000</v>
      </c>
      <c r="J767" t="s">
        <v>23</v>
      </c>
      <c r="K767" s="3">
        <v>44957</v>
      </c>
      <c r="L767" t="s">
        <v>489</v>
      </c>
      <c r="M767" t="s">
        <v>499</v>
      </c>
      <c r="N767" s="6">
        <f>IF(Tabela5[[#This Row],[Dim_Cenario'[Nome Cenario']]]=Tabela5[[#Headers],[INIC Atual]],Tabela5[[#This Row],['[Valores_cenario']]],0)</f>
        <v>0</v>
      </c>
      <c r="O767" s="6">
        <f>IF(Tabela5[[#This Row],[Dim_Cenario'[Nome Cenario']]]=Tabela5[[#Headers],[Revisado]],Tabela5[[#This Row],['[Valores_cenario']]],0)</f>
        <v>0</v>
      </c>
      <c r="P767" s="6">
        <f>IF(Tabela5[[#This Row],[Dim_Cenario'[Nome Cenario']]]=Tabela5[[#Headers],[Realizado]],Tabela5[[#This Row],['[Valores_cenario']]],0)</f>
        <v>39000</v>
      </c>
    </row>
    <row r="768" hidden="1" spans="1:16">
      <c r="A768" t="s">
        <v>17</v>
      </c>
      <c r="B768" t="s">
        <v>18</v>
      </c>
      <c r="C768" t="s">
        <v>37</v>
      </c>
      <c r="D768" t="s">
        <v>20</v>
      </c>
      <c r="E768">
        <v>2025</v>
      </c>
      <c r="F768" t="s">
        <v>30</v>
      </c>
      <c r="G768" t="s">
        <v>31</v>
      </c>
      <c r="H768">
        <v>8</v>
      </c>
      <c r="I768">
        <v>31265.71</v>
      </c>
      <c r="J768" t="s">
        <v>33</v>
      </c>
      <c r="K768" s="3"/>
      <c r="N768" s="6">
        <f>IF(Tabela5[[#This Row],[Dim_Cenario'[Nome Cenario']]]=Tabela5[[#Headers],[INIC Atual]],Tabela5[[#This Row],['[Valores_cenario']]],0)</f>
        <v>31265.71</v>
      </c>
      <c r="O768" s="6">
        <f>IF(Tabela5[[#This Row],[Dim_Cenario'[Nome Cenario']]]=Tabela5[[#Headers],[Revisado]],Tabela5[[#This Row],['[Valores_cenario']]],0)</f>
        <v>0</v>
      </c>
      <c r="P768" s="6">
        <f>IF(Tabela5[[#This Row],[Dim_Cenario'[Nome Cenario']]]=Tabela5[[#Headers],[Realizado]],Tabela5[[#This Row],['[Valores_cenario']]],0)</f>
        <v>0</v>
      </c>
    </row>
    <row r="769" hidden="1" spans="1:16">
      <c r="A769" t="s">
        <v>17</v>
      </c>
      <c r="B769" t="s">
        <v>18</v>
      </c>
      <c r="C769" t="s">
        <v>37</v>
      </c>
      <c r="D769" t="s">
        <v>20</v>
      </c>
      <c r="E769">
        <v>2025</v>
      </c>
      <c r="F769" t="s">
        <v>30</v>
      </c>
      <c r="G769" t="s">
        <v>41</v>
      </c>
      <c r="H769">
        <v>9</v>
      </c>
      <c r="I769">
        <v>31265.71</v>
      </c>
      <c r="J769" t="s">
        <v>33</v>
      </c>
      <c r="K769" s="3"/>
      <c r="N769" s="6">
        <f>IF(Tabela5[[#This Row],[Dim_Cenario'[Nome Cenario']]]=Tabela5[[#Headers],[INIC Atual]],Tabela5[[#This Row],['[Valores_cenario']]],0)</f>
        <v>31265.71</v>
      </c>
      <c r="O769" s="6">
        <f>IF(Tabela5[[#This Row],[Dim_Cenario'[Nome Cenario']]]=Tabela5[[#Headers],[Revisado]],Tabela5[[#This Row],['[Valores_cenario']]],0)</f>
        <v>0</v>
      </c>
      <c r="P769" s="6">
        <f>IF(Tabela5[[#This Row],[Dim_Cenario'[Nome Cenario']]]=Tabela5[[#Headers],[Realizado]],Tabela5[[#This Row],['[Valores_cenario']]],0)</f>
        <v>0</v>
      </c>
    </row>
    <row r="770" hidden="1" spans="1:16">
      <c r="A770" t="s">
        <v>17</v>
      </c>
      <c r="B770" t="s">
        <v>18</v>
      </c>
      <c r="C770" t="s">
        <v>19</v>
      </c>
      <c r="D770" t="s">
        <v>15</v>
      </c>
      <c r="E770">
        <v>2023</v>
      </c>
      <c r="F770" t="s">
        <v>25</v>
      </c>
      <c r="G770" t="s">
        <v>26</v>
      </c>
      <c r="H770">
        <v>2</v>
      </c>
      <c r="I770">
        <v>30000</v>
      </c>
      <c r="J770" t="s">
        <v>23</v>
      </c>
      <c r="K770" s="3">
        <v>44979</v>
      </c>
      <c r="L770" t="s">
        <v>489</v>
      </c>
      <c r="M770" t="s">
        <v>500</v>
      </c>
      <c r="N770" s="6">
        <f>IF(Tabela5[[#This Row],[Dim_Cenario'[Nome Cenario']]]=Tabela5[[#Headers],[INIC Atual]],Tabela5[[#This Row],['[Valores_cenario']]],0)</f>
        <v>0</v>
      </c>
      <c r="O770" s="6">
        <f>IF(Tabela5[[#This Row],[Dim_Cenario'[Nome Cenario']]]=Tabela5[[#Headers],[Revisado]],Tabela5[[#This Row],['[Valores_cenario']]],0)</f>
        <v>0</v>
      </c>
      <c r="P770" s="6">
        <f>IF(Tabela5[[#This Row],[Dim_Cenario'[Nome Cenario']]]=Tabela5[[#Headers],[Realizado]],Tabela5[[#This Row],['[Valores_cenario']]],0)</f>
        <v>30000</v>
      </c>
    </row>
    <row r="771" hidden="1" spans="1:16">
      <c r="A771" t="s">
        <v>17</v>
      </c>
      <c r="B771" t="s">
        <v>18</v>
      </c>
      <c r="C771" t="s">
        <v>37</v>
      </c>
      <c r="D771" t="s">
        <v>20</v>
      </c>
      <c r="E771">
        <v>2025</v>
      </c>
      <c r="F771" t="s">
        <v>21</v>
      </c>
      <c r="G771" t="s">
        <v>22</v>
      </c>
      <c r="H771">
        <v>10</v>
      </c>
      <c r="I771">
        <v>31265.71</v>
      </c>
      <c r="J771" t="s">
        <v>33</v>
      </c>
      <c r="K771" s="3"/>
      <c r="N771" s="6">
        <f>IF(Tabela5[[#This Row],[Dim_Cenario'[Nome Cenario']]]=Tabela5[[#Headers],[INIC Atual]],Tabela5[[#This Row],['[Valores_cenario']]],0)</f>
        <v>31265.71</v>
      </c>
      <c r="O771" s="6">
        <f>IF(Tabela5[[#This Row],[Dim_Cenario'[Nome Cenario']]]=Tabela5[[#Headers],[Revisado]],Tabela5[[#This Row],['[Valores_cenario']]],0)</f>
        <v>0</v>
      </c>
      <c r="P771" s="6">
        <f>IF(Tabela5[[#This Row],[Dim_Cenario'[Nome Cenario']]]=Tabela5[[#Headers],[Realizado]],Tabela5[[#This Row],['[Valores_cenario']]],0)</f>
        <v>0</v>
      </c>
    </row>
    <row r="772" hidden="1" spans="1:16">
      <c r="A772" t="s">
        <v>17</v>
      </c>
      <c r="B772" t="s">
        <v>18</v>
      </c>
      <c r="C772" t="s">
        <v>37</v>
      </c>
      <c r="D772" t="s">
        <v>20</v>
      </c>
      <c r="E772">
        <v>2025</v>
      </c>
      <c r="F772" t="s">
        <v>21</v>
      </c>
      <c r="G772" t="s">
        <v>24</v>
      </c>
      <c r="H772">
        <v>11</v>
      </c>
      <c r="I772">
        <v>31265.71</v>
      </c>
      <c r="J772" t="s">
        <v>33</v>
      </c>
      <c r="K772" s="3"/>
      <c r="N772" s="6">
        <f>IF(Tabela5[[#This Row],[Dim_Cenario'[Nome Cenario']]]=Tabela5[[#Headers],[INIC Atual]],Tabela5[[#This Row],['[Valores_cenario']]],0)</f>
        <v>31265.71</v>
      </c>
      <c r="O772" s="6">
        <f>IF(Tabela5[[#This Row],[Dim_Cenario'[Nome Cenario']]]=Tabela5[[#Headers],[Revisado]],Tabela5[[#This Row],['[Valores_cenario']]],0)</f>
        <v>0</v>
      </c>
      <c r="P772" s="6">
        <f>IF(Tabela5[[#This Row],[Dim_Cenario'[Nome Cenario']]]=Tabela5[[#Headers],[Realizado]],Tabela5[[#This Row],['[Valores_cenario']]],0)</f>
        <v>0</v>
      </c>
    </row>
    <row r="773" hidden="1" spans="1:16">
      <c r="A773" t="s">
        <v>17</v>
      </c>
      <c r="B773" t="s">
        <v>18</v>
      </c>
      <c r="C773" t="s">
        <v>37</v>
      </c>
      <c r="D773" t="s">
        <v>20</v>
      </c>
      <c r="E773">
        <v>2025</v>
      </c>
      <c r="F773" t="s">
        <v>21</v>
      </c>
      <c r="G773" t="s">
        <v>32</v>
      </c>
      <c r="H773">
        <v>12</v>
      </c>
      <c r="I773">
        <v>31265.71</v>
      </c>
      <c r="J773" t="s">
        <v>33</v>
      </c>
      <c r="K773" s="3"/>
      <c r="N773" s="6">
        <f>IF(Tabela5[[#This Row],[Dim_Cenario'[Nome Cenario']]]=Tabela5[[#Headers],[INIC Atual]],Tabela5[[#This Row],['[Valores_cenario']]],0)</f>
        <v>31265.71</v>
      </c>
      <c r="O773" s="6">
        <f>IF(Tabela5[[#This Row],[Dim_Cenario'[Nome Cenario']]]=Tabela5[[#Headers],[Revisado]],Tabela5[[#This Row],['[Valores_cenario']]],0)</f>
        <v>0</v>
      </c>
      <c r="P773" s="6">
        <f>IF(Tabela5[[#This Row],[Dim_Cenario'[Nome Cenario']]]=Tabela5[[#Headers],[Realizado]],Tabela5[[#This Row],['[Valores_cenario']]],0)</f>
        <v>0</v>
      </c>
    </row>
    <row r="774" hidden="1" spans="1:16">
      <c r="A774" t="s">
        <v>17</v>
      </c>
      <c r="B774" t="s">
        <v>18</v>
      </c>
      <c r="C774" t="s">
        <v>96</v>
      </c>
      <c r="D774" t="s">
        <v>15</v>
      </c>
      <c r="E774">
        <v>2023</v>
      </c>
      <c r="F774" t="s">
        <v>25</v>
      </c>
      <c r="G774" t="s">
        <v>38</v>
      </c>
      <c r="H774">
        <v>3</v>
      </c>
      <c r="I774">
        <v>167531.47</v>
      </c>
      <c r="J774" t="s">
        <v>23</v>
      </c>
      <c r="K774" s="3">
        <v>45008</v>
      </c>
      <c r="L774" t="s">
        <v>487</v>
      </c>
      <c r="M774" t="s">
        <v>501</v>
      </c>
      <c r="N774" s="6">
        <f>IF(Tabela5[[#This Row],[Dim_Cenario'[Nome Cenario']]]=Tabela5[[#Headers],[INIC Atual]],Tabela5[[#This Row],['[Valores_cenario']]],0)</f>
        <v>0</v>
      </c>
      <c r="O774" s="6">
        <f>IF(Tabela5[[#This Row],[Dim_Cenario'[Nome Cenario']]]=Tabela5[[#Headers],[Revisado]],Tabela5[[#This Row],['[Valores_cenario']]],0)</f>
        <v>0</v>
      </c>
      <c r="P774" s="6">
        <f>IF(Tabela5[[#This Row],[Dim_Cenario'[Nome Cenario']]]=Tabela5[[#Headers],[Realizado]],Tabela5[[#This Row],['[Valores_cenario']]],0)</f>
        <v>167531.47</v>
      </c>
    </row>
    <row r="775" hidden="1" spans="1:16">
      <c r="A775" t="s">
        <v>17</v>
      </c>
      <c r="B775" t="s">
        <v>18</v>
      </c>
      <c r="C775" t="s">
        <v>37</v>
      </c>
      <c r="D775" t="s">
        <v>14</v>
      </c>
      <c r="E775">
        <v>2025</v>
      </c>
      <c r="F775" t="s">
        <v>25</v>
      </c>
      <c r="G775" t="s">
        <v>26</v>
      </c>
      <c r="H775">
        <v>2</v>
      </c>
      <c r="I775">
        <v>3243.71</v>
      </c>
      <c r="J775" t="s">
        <v>33</v>
      </c>
      <c r="K775" s="3"/>
      <c r="N775" s="6">
        <f>IF(Tabela5[[#This Row],[Dim_Cenario'[Nome Cenario']]]=Tabela5[[#Headers],[INIC Atual]],Tabela5[[#This Row],['[Valores_cenario']]],0)</f>
        <v>0</v>
      </c>
      <c r="O775" s="6">
        <f>IF(Tabela5[[#This Row],[Dim_Cenario'[Nome Cenario']]]=Tabela5[[#Headers],[Revisado]],Tabela5[[#This Row],['[Valores_cenario']]],0)</f>
        <v>3243.71</v>
      </c>
      <c r="P775" s="6">
        <f>IF(Tabela5[[#This Row],[Dim_Cenario'[Nome Cenario']]]=Tabela5[[#Headers],[Realizado]],Tabela5[[#This Row],['[Valores_cenario']]],0)</f>
        <v>0</v>
      </c>
    </row>
    <row r="776" hidden="1" spans="1:16">
      <c r="A776" t="s">
        <v>17</v>
      </c>
      <c r="B776" t="s">
        <v>18</v>
      </c>
      <c r="C776" t="s">
        <v>19</v>
      </c>
      <c r="D776" t="s">
        <v>15</v>
      </c>
      <c r="E776">
        <v>2023</v>
      </c>
      <c r="F776" t="s">
        <v>27</v>
      </c>
      <c r="G776" t="s">
        <v>39</v>
      </c>
      <c r="H776">
        <v>5</v>
      </c>
      <c r="I776">
        <v>105000</v>
      </c>
      <c r="J776" t="s">
        <v>23</v>
      </c>
      <c r="K776" s="3">
        <v>45056</v>
      </c>
      <c r="L776" t="s">
        <v>489</v>
      </c>
      <c r="M776" t="s">
        <v>502</v>
      </c>
      <c r="N776" s="6">
        <f>IF(Tabela5[[#This Row],[Dim_Cenario'[Nome Cenario']]]=Tabela5[[#Headers],[INIC Atual]],Tabela5[[#This Row],['[Valores_cenario']]],0)</f>
        <v>0</v>
      </c>
      <c r="O776" s="6">
        <f>IF(Tabela5[[#This Row],[Dim_Cenario'[Nome Cenario']]]=Tabela5[[#Headers],[Revisado]],Tabela5[[#This Row],['[Valores_cenario']]],0)</f>
        <v>0</v>
      </c>
      <c r="P776" s="6">
        <f>IF(Tabela5[[#This Row],[Dim_Cenario'[Nome Cenario']]]=Tabela5[[#Headers],[Realizado]],Tabela5[[#This Row],['[Valores_cenario']]],0)</f>
        <v>105000</v>
      </c>
    </row>
    <row r="777" hidden="1" spans="1:16">
      <c r="A777" t="s">
        <v>17</v>
      </c>
      <c r="B777" t="s">
        <v>18</v>
      </c>
      <c r="C777" t="s">
        <v>37</v>
      </c>
      <c r="D777" t="s">
        <v>14</v>
      </c>
      <c r="E777">
        <v>2025</v>
      </c>
      <c r="F777" t="s">
        <v>27</v>
      </c>
      <c r="G777" t="s">
        <v>28</v>
      </c>
      <c r="H777">
        <v>4</v>
      </c>
      <c r="I777">
        <v>259.71</v>
      </c>
      <c r="J777" t="s">
        <v>33</v>
      </c>
      <c r="K777" s="3"/>
      <c r="N777" s="6">
        <f>IF(Tabela5[[#This Row],[Dim_Cenario'[Nome Cenario']]]=Tabela5[[#Headers],[INIC Atual]],Tabela5[[#This Row],['[Valores_cenario']]],0)</f>
        <v>0</v>
      </c>
      <c r="O777" s="6">
        <f>IF(Tabela5[[#This Row],[Dim_Cenario'[Nome Cenario']]]=Tabela5[[#Headers],[Revisado]],Tabela5[[#This Row],['[Valores_cenario']]],0)</f>
        <v>259.71</v>
      </c>
      <c r="P777" s="6">
        <f>IF(Tabela5[[#This Row],[Dim_Cenario'[Nome Cenario']]]=Tabela5[[#Headers],[Realizado]],Tabela5[[#This Row],['[Valores_cenario']]],0)</f>
        <v>0</v>
      </c>
    </row>
    <row r="778" hidden="1" spans="1:16">
      <c r="A778" t="s">
        <v>17</v>
      </c>
      <c r="B778" t="s">
        <v>18</v>
      </c>
      <c r="C778" t="s">
        <v>37</v>
      </c>
      <c r="D778" t="s">
        <v>14</v>
      </c>
      <c r="E778">
        <v>2025</v>
      </c>
      <c r="F778" t="s">
        <v>27</v>
      </c>
      <c r="G778" t="s">
        <v>29</v>
      </c>
      <c r="H778">
        <v>6</v>
      </c>
      <c r="I778">
        <v>10999.71</v>
      </c>
      <c r="J778" t="s">
        <v>33</v>
      </c>
      <c r="K778" s="3"/>
      <c r="N778" s="6">
        <f>IF(Tabela5[[#This Row],[Dim_Cenario'[Nome Cenario']]]=Tabela5[[#Headers],[INIC Atual]],Tabela5[[#This Row],['[Valores_cenario']]],0)</f>
        <v>0</v>
      </c>
      <c r="O778" s="6">
        <f>IF(Tabela5[[#This Row],[Dim_Cenario'[Nome Cenario']]]=Tabela5[[#Headers],[Revisado]],Tabela5[[#This Row],['[Valores_cenario']]],0)</f>
        <v>10999.71</v>
      </c>
      <c r="P778" s="6">
        <f>IF(Tabela5[[#This Row],[Dim_Cenario'[Nome Cenario']]]=Tabela5[[#Headers],[Realizado]],Tabela5[[#This Row],['[Valores_cenario']]],0)</f>
        <v>0</v>
      </c>
    </row>
    <row r="779" hidden="1" spans="1:16">
      <c r="A779" t="s">
        <v>17</v>
      </c>
      <c r="B779" t="s">
        <v>18</v>
      </c>
      <c r="C779" t="s">
        <v>37</v>
      </c>
      <c r="D779" t="s">
        <v>14</v>
      </c>
      <c r="E779">
        <v>2025</v>
      </c>
      <c r="F779" t="s">
        <v>30</v>
      </c>
      <c r="G779" t="s">
        <v>40</v>
      </c>
      <c r="H779">
        <v>7</v>
      </c>
      <c r="I779">
        <v>153433.43</v>
      </c>
      <c r="J779" t="s">
        <v>33</v>
      </c>
      <c r="K779" s="3"/>
      <c r="N779" s="6">
        <f>IF(Tabela5[[#This Row],[Dim_Cenario'[Nome Cenario']]]=Tabela5[[#Headers],[INIC Atual]],Tabela5[[#This Row],['[Valores_cenario']]],0)</f>
        <v>0</v>
      </c>
      <c r="O779" s="6">
        <f>IF(Tabela5[[#This Row],[Dim_Cenario'[Nome Cenario']]]=Tabela5[[#Headers],[Revisado]],Tabela5[[#This Row],['[Valores_cenario']]],0)</f>
        <v>153433.43</v>
      </c>
      <c r="P779" s="6">
        <f>IF(Tabela5[[#This Row],[Dim_Cenario'[Nome Cenario']]]=Tabela5[[#Headers],[Realizado]],Tabela5[[#This Row],['[Valores_cenario']]],0)</f>
        <v>0</v>
      </c>
    </row>
    <row r="780" hidden="1" spans="1:16">
      <c r="A780" t="s">
        <v>17</v>
      </c>
      <c r="B780" t="s">
        <v>18</v>
      </c>
      <c r="C780" t="s">
        <v>96</v>
      </c>
      <c r="D780" t="s">
        <v>15</v>
      </c>
      <c r="E780">
        <v>2023</v>
      </c>
      <c r="F780" t="s">
        <v>27</v>
      </c>
      <c r="G780" t="s">
        <v>29</v>
      </c>
      <c r="H780">
        <v>6</v>
      </c>
      <c r="I780">
        <v>146590.04</v>
      </c>
      <c r="J780" t="s">
        <v>23</v>
      </c>
      <c r="K780" s="3">
        <v>45089</v>
      </c>
      <c r="L780" t="s">
        <v>487</v>
      </c>
      <c r="M780" t="s">
        <v>503</v>
      </c>
      <c r="N780" s="6">
        <f>IF(Tabela5[[#This Row],[Dim_Cenario'[Nome Cenario']]]=Tabela5[[#Headers],[INIC Atual]],Tabela5[[#This Row],['[Valores_cenario']]],0)</f>
        <v>0</v>
      </c>
      <c r="O780" s="6">
        <f>IF(Tabela5[[#This Row],[Dim_Cenario'[Nome Cenario']]]=Tabela5[[#Headers],[Revisado]],Tabela5[[#This Row],['[Valores_cenario']]],0)</f>
        <v>0</v>
      </c>
      <c r="P780" s="6">
        <f>IF(Tabela5[[#This Row],[Dim_Cenario'[Nome Cenario']]]=Tabela5[[#Headers],[Realizado]],Tabela5[[#This Row],['[Valores_cenario']]],0)</f>
        <v>146590.04</v>
      </c>
    </row>
    <row r="781" hidden="1" spans="1:16">
      <c r="A781" t="s">
        <v>17</v>
      </c>
      <c r="B781" t="s">
        <v>18</v>
      </c>
      <c r="C781" t="s">
        <v>37</v>
      </c>
      <c r="D781" t="s">
        <v>14</v>
      </c>
      <c r="E781">
        <v>2025</v>
      </c>
      <c r="F781" t="s">
        <v>30</v>
      </c>
      <c r="G781" t="s">
        <v>31</v>
      </c>
      <c r="H781">
        <v>8</v>
      </c>
      <c r="I781">
        <v>7871.42</v>
      </c>
      <c r="J781" t="s">
        <v>33</v>
      </c>
      <c r="K781" s="3"/>
      <c r="N781" s="6">
        <f>IF(Tabela5[[#This Row],[Dim_Cenario'[Nome Cenario']]]=Tabela5[[#Headers],[INIC Atual]],Tabela5[[#This Row],['[Valores_cenario']]],0)</f>
        <v>0</v>
      </c>
      <c r="O781" s="6">
        <f>IF(Tabela5[[#This Row],[Dim_Cenario'[Nome Cenario']]]=Tabela5[[#Headers],[Revisado]],Tabela5[[#This Row],['[Valores_cenario']]],0)</f>
        <v>7871.42</v>
      </c>
      <c r="P781" s="6">
        <f>IF(Tabela5[[#This Row],[Dim_Cenario'[Nome Cenario']]]=Tabela5[[#Headers],[Realizado]],Tabela5[[#This Row],['[Valores_cenario']]],0)</f>
        <v>0</v>
      </c>
    </row>
    <row r="782" hidden="1" spans="1:16">
      <c r="A782" t="s">
        <v>17</v>
      </c>
      <c r="B782" t="s">
        <v>18</v>
      </c>
      <c r="C782" t="s">
        <v>37</v>
      </c>
      <c r="D782" t="s">
        <v>14</v>
      </c>
      <c r="E782">
        <v>2025</v>
      </c>
      <c r="F782" t="s">
        <v>30</v>
      </c>
      <c r="G782" t="s">
        <v>41</v>
      </c>
      <c r="H782">
        <v>9</v>
      </c>
      <c r="I782">
        <v>79859.71</v>
      </c>
      <c r="J782" t="s">
        <v>33</v>
      </c>
      <c r="K782" s="3"/>
      <c r="N782" s="6">
        <f>IF(Tabela5[[#This Row],[Dim_Cenario'[Nome Cenario']]]=Tabela5[[#Headers],[INIC Atual]],Tabela5[[#This Row],['[Valores_cenario']]],0)</f>
        <v>0</v>
      </c>
      <c r="O782" s="6">
        <f>IF(Tabela5[[#This Row],[Dim_Cenario'[Nome Cenario']]]=Tabela5[[#Headers],[Revisado]],Tabela5[[#This Row],['[Valores_cenario']]],0)</f>
        <v>79859.71</v>
      </c>
      <c r="P782" s="6">
        <f>IF(Tabela5[[#This Row],[Dim_Cenario'[Nome Cenario']]]=Tabela5[[#Headers],[Realizado]],Tabela5[[#This Row],['[Valores_cenario']]],0)</f>
        <v>0</v>
      </c>
    </row>
    <row r="783" hidden="1" spans="1:16">
      <c r="A783" t="s">
        <v>17</v>
      </c>
      <c r="B783" t="s">
        <v>18</v>
      </c>
      <c r="C783" t="s">
        <v>19</v>
      </c>
      <c r="D783" t="s">
        <v>15</v>
      </c>
      <c r="E783">
        <v>2023</v>
      </c>
      <c r="F783" t="s">
        <v>30</v>
      </c>
      <c r="G783" t="s">
        <v>40</v>
      </c>
      <c r="H783">
        <v>7</v>
      </c>
      <c r="I783">
        <v>18000</v>
      </c>
      <c r="J783" t="s">
        <v>23</v>
      </c>
      <c r="K783" s="3">
        <v>45138</v>
      </c>
      <c r="L783" t="s">
        <v>489</v>
      </c>
      <c r="M783" t="s">
        <v>504</v>
      </c>
      <c r="N783" s="6">
        <f>IF(Tabela5[[#This Row],[Dim_Cenario'[Nome Cenario']]]=Tabela5[[#Headers],[INIC Atual]],Tabela5[[#This Row],['[Valores_cenario']]],0)</f>
        <v>0</v>
      </c>
      <c r="O783" s="6">
        <f>IF(Tabela5[[#This Row],[Dim_Cenario'[Nome Cenario']]]=Tabela5[[#Headers],[Revisado]],Tabela5[[#This Row],['[Valores_cenario']]],0)</f>
        <v>0</v>
      </c>
      <c r="P783" s="6">
        <f>IF(Tabela5[[#This Row],[Dim_Cenario'[Nome Cenario']]]=Tabela5[[#Headers],[Realizado]],Tabela5[[#This Row],['[Valores_cenario']]],0)</f>
        <v>18000</v>
      </c>
    </row>
    <row r="784" hidden="1" spans="1:16">
      <c r="A784" t="s">
        <v>97</v>
      </c>
      <c r="B784" t="s">
        <v>18</v>
      </c>
      <c r="C784" t="s">
        <v>99</v>
      </c>
      <c r="D784" t="s">
        <v>15</v>
      </c>
      <c r="E784">
        <v>2023</v>
      </c>
      <c r="F784" t="s">
        <v>30</v>
      </c>
      <c r="G784" t="s">
        <v>31</v>
      </c>
      <c r="H784">
        <v>8</v>
      </c>
      <c r="I784">
        <v>422170</v>
      </c>
      <c r="J784" t="s">
        <v>23</v>
      </c>
      <c r="K784" s="3">
        <v>45168</v>
      </c>
      <c r="L784" t="s">
        <v>505</v>
      </c>
      <c r="M784" t="s">
        <v>506</v>
      </c>
      <c r="N784" s="6">
        <f>IF(Tabela5[[#This Row],[Dim_Cenario'[Nome Cenario']]]=Tabela5[[#Headers],[INIC Atual]],Tabela5[[#This Row],['[Valores_cenario']]],0)</f>
        <v>0</v>
      </c>
      <c r="O784" s="6">
        <f>IF(Tabela5[[#This Row],[Dim_Cenario'[Nome Cenario']]]=Tabela5[[#Headers],[Revisado]],Tabela5[[#This Row],['[Valores_cenario']]],0)</f>
        <v>0</v>
      </c>
      <c r="P784" s="6">
        <f>IF(Tabela5[[#This Row],[Dim_Cenario'[Nome Cenario']]]=Tabela5[[#Headers],[Realizado]],Tabela5[[#This Row],['[Valores_cenario']]],0)</f>
        <v>422170</v>
      </c>
    </row>
    <row r="785" hidden="1" spans="1:16">
      <c r="A785" t="s">
        <v>17</v>
      </c>
      <c r="B785" t="s">
        <v>18</v>
      </c>
      <c r="C785" t="s">
        <v>37</v>
      </c>
      <c r="D785" t="s">
        <v>14</v>
      </c>
      <c r="E785">
        <v>2025</v>
      </c>
      <c r="F785" t="s">
        <v>21</v>
      </c>
      <c r="G785" t="s">
        <v>22</v>
      </c>
      <c r="H785">
        <v>10</v>
      </c>
      <c r="I785">
        <v>1514.71</v>
      </c>
      <c r="J785" t="s">
        <v>33</v>
      </c>
      <c r="K785" s="3"/>
      <c r="N785" s="6">
        <f>IF(Tabela5[[#This Row],[Dim_Cenario'[Nome Cenario']]]=Tabela5[[#Headers],[INIC Atual]],Tabela5[[#This Row],['[Valores_cenario']]],0)</f>
        <v>0</v>
      </c>
      <c r="O785" s="6">
        <f>IF(Tabela5[[#This Row],[Dim_Cenario'[Nome Cenario']]]=Tabela5[[#Headers],[Revisado]],Tabela5[[#This Row],['[Valores_cenario']]],0)</f>
        <v>1514.71</v>
      </c>
      <c r="P785" s="6">
        <f>IF(Tabela5[[#This Row],[Dim_Cenario'[Nome Cenario']]]=Tabela5[[#Headers],[Realizado]],Tabela5[[#This Row],['[Valores_cenario']]],0)</f>
        <v>0</v>
      </c>
    </row>
    <row r="786" hidden="1" spans="1:16">
      <c r="A786" t="s">
        <v>17</v>
      </c>
      <c r="B786" t="s">
        <v>18</v>
      </c>
      <c r="C786" t="s">
        <v>19</v>
      </c>
      <c r="D786" t="s">
        <v>15</v>
      </c>
      <c r="E786">
        <v>2023</v>
      </c>
      <c r="F786" t="s">
        <v>21</v>
      </c>
      <c r="G786" t="s">
        <v>22</v>
      </c>
      <c r="H786">
        <v>10</v>
      </c>
      <c r="I786">
        <v>48460.28</v>
      </c>
      <c r="J786" t="s">
        <v>23</v>
      </c>
      <c r="K786" s="3">
        <v>45210</v>
      </c>
      <c r="L786" t="s">
        <v>507</v>
      </c>
      <c r="M786" t="s">
        <v>508</v>
      </c>
      <c r="N786" s="6">
        <f>IF(Tabela5[[#This Row],[Dim_Cenario'[Nome Cenario']]]=Tabela5[[#Headers],[INIC Atual]],Tabela5[[#This Row],['[Valores_cenario']]],0)</f>
        <v>0</v>
      </c>
      <c r="O786" s="6">
        <f>IF(Tabela5[[#This Row],[Dim_Cenario'[Nome Cenario']]]=Tabela5[[#Headers],[Revisado]],Tabela5[[#This Row],['[Valores_cenario']]],0)</f>
        <v>0</v>
      </c>
      <c r="P786" s="6">
        <f>IF(Tabela5[[#This Row],[Dim_Cenario'[Nome Cenario']]]=Tabela5[[#Headers],[Realizado]],Tabela5[[#This Row],['[Valores_cenario']]],0)</f>
        <v>48460.28</v>
      </c>
    </row>
    <row r="787" hidden="1" spans="1:16">
      <c r="A787" t="s">
        <v>17</v>
      </c>
      <c r="B787" t="s">
        <v>18</v>
      </c>
      <c r="C787" t="s">
        <v>19</v>
      </c>
      <c r="D787" t="s">
        <v>15</v>
      </c>
      <c r="E787">
        <v>2023</v>
      </c>
      <c r="F787" t="s">
        <v>21</v>
      </c>
      <c r="G787" t="s">
        <v>22</v>
      </c>
      <c r="H787">
        <v>10</v>
      </c>
      <c r="I787">
        <v>27349.72</v>
      </c>
      <c r="J787" t="s">
        <v>23</v>
      </c>
      <c r="K787" s="3">
        <v>45210</v>
      </c>
      <c r="L787" t="s">
        <v>507</v>
      </c>
      <c r="M787" t="s">
        <v>509</v>
      </c>
      <c r="N787" s="6">
        <f>IF(Tabela5[[#This Row],[Dim_Cenario'[Nome Cenario']]]=Tabela5[[#Headers],[INIC Atual]],Tabela5[[#This Row],['[Valores_cenario']]],0)</f>
        <v>0</v>
      </c>
      <c r="O787" s="6">
        <f>IF(Tabela5[[#This Row],[Dim_Cenario'[Nome Cenario']]]=Tabela5[[#Headers],[Revisado]],Tabela5[[#This Row],['[Valores_cenario']]],0)</f>
        <v>0</v>
      </c>
      <c r="P787" s="6">
        <f>IF(Tabela5[[#This Row],[Dim_Cenario'[Nome Cenario']]]=Tabela5[[#Headers],[Realizado]],Tabela5[[#This Row],['[Valores_cenario']]],0)</f>
        <v>27349.72</v>
      </c>
    </row>
    <row r="788" hidden="1" spans="1:16">
      <c r="A788" t="s">
        <v>17</v>
      </c>
      <c r="B788" t="s">
        <v>18</v>
      </c>
      <c r="C788" t="s">
        <v>37</v>
      </c>
      <c r="D788" t="s">
        <v>14</v>
      </c>
      <c r="E788">
        <v>2025</v>
      </c>
      <c r="F788" t="s">
        <v>21</v>
      </c>
      <c r="G788" t="s">
        <v>24</v>
      </c>
      <c r="H788">
        <v>11</v>
      </c>
      <c r="I788">
        <v>58756.84</v>
      </c>
      <c r="J788" t="s">
        <v>33</v>
      </c>
      <c r="K788" s="3"/>
      <c r="N788" s="6">
        <f>IF(Tabela5[[#This Row],[Dim_Cenario'[Nome Cenario']]]=Tabela5[[#Headers],[INIC Atual]],Tabela5[[#This Row],['[Valores_cenario']]],0)</f>
        <v>0</v>
      </c>
      <c r="O788" s="6">
        <f>IF(Tabela5[[#This Row],[Dim_Cenario'[Nome Cenario']]]=Tabela5[[#Headers],[Revisado]],Tabela5[[#This Row],['[Valores_cenario']]],0)</f>
        <v>58756.84</v>
      </c>
      <c r="P788" s="6">
        <f>IF(Tabela5[[#This Row],[Dim_Cenario'[Nome Cenario']]]=Tabela5[[#Headers],[Realizado]],Tabela5[[#This Row],['[Valores_cenario']]],0)</f>
        <v>0</v>
      </c>
    </row>
    <row r="789" hidden="1" spans="1:16">
      <c r="A789" t="s">
        <v>97</v>
      </c>
      <c r="B789" t="s">
        <v>18</v>
      </c>
      <c r="C789" t="s">
        <v>98</v>
      </c>
      <c r="D789" t="s">
        <v>15</v>
      </c>
      <c r="E789">
        <v>2023</v>
      </c>
      <c r="F789" t="s">
        <v>21</v>
      </c>
      <c r="G789" t="s">
        <v>22</v>
      </c>
      <c r="H789">
        <v>10</v>
      </c>
      <c r="I789">
        <v>18788</v>
      </c>
      <c r="J789" t="s">
        <v>23</v>
      </c>
      <c r="K789" s="3">
        <v>45230</v>
      </c>
      <c r="L789" t="s">
        <v>50</v>
      </c>
      <c r="M789" t="s">
        <v>510</v>
      </c>
      <c r="N789" s="6">
        <f>IF(Tabela5[[#This Row],[Dim_Cenario'[Nome Cenario']]]=Tabela5[[#Headers],[INIC Atual]],Tabela5[[#This Row],['[Valores_cenario']]],0)</f>
        <v>0</v>
      </c>
      <c r="O789" s="6">
        <f>IF(Tabela5[[#This Row],[Dim_Cenario'[Nome Cenario']]]=Tabela5[[#Headers],[Revisado]],Tabela5[[#This Row],['[Valores_cenario']]],0)</f>
        <v>0</v>
      </c>
      <c r="P789" s="6">
        <f>IF(Tabela5[[#This Row],[Dim_Cenario'[Nome Cenario']]]=Tabela5[[#Headers],[Realizado]],Tabela5[[#This Row],['[Valores_cenario']]],0)</f>
        <v>18788</v>
      </c>
    </row>
    <row r="790" hidden="1" spans="1:16">
      <c r="A790" t="s">
        <v>97</v>
      </c>
      <c r="B790" t="s">
        <v>18</v>
      </c>
      <c r="C790" t="s">
        <v>98</v>
      </c>
      <c r="D790" t="s">
        <v>15</v>
      </c>
      <c r="E790">
        <v>2023</v>
      </c>
      <c r="F790" t="s">
        <v>21</v>
      </c>
      <c r="G790" t="s">
        <v>24</v>
      </c>
      <c r="H790">
        <v>11</v>
      </c>
      <c r="I790">
        <v>-18788</v>
      </c>
      <c r="J790" t="s">
        <v>23</v>
      </c>
      <c r="K790" s="3">
        <v>45238</v>
      </c>
      <c r="L790" t="s">
        <v>50</v>
      </c>
      <c r="M790" t="s">
        <v>510</v>
      </c>
      <c r="N790" s="6">
        <f>IF(Tabela5[[#This Row],[Dim_Cenario'[Nome Cenario']]]=Tabela5[[#Headers],[INIC Atual]],Tabela5[[#This Row],['[Valores_cenario']]],0)</f>
        <v>0</v>
      </c>
      <c r="O790" s="6">
        <f>IF(Tabela5[[#This Row],[Dim_Cenario'[Nome Cenario']]]=Tabela5[[#Headers],[Revisado]],Tabela5[[#This Row],['[Valores_cenario']]],0)</f>
        <v>0</v>
      </c>
      <c r="P790" s="6">
        <f>IF(Tabela5[[#This Row],[Dim_Cenario'[Nome Cenario']]]=Tabela5[[#Headers],[Realizado]],Tabela5[[#This Row],['[Valores_cenario']]],0)</f>
        <v>-18788</v>
      </c>
    </row>
    <row r="791" hidden="1" spans="1:16">
      <c r="A791" t="s">
        <v>17</v>
      </c>
      <c r="B791" t="s">
        <v>18</v>
      </c>
      <c r="C791" t="s">
        <v>37</v>
      </c>
      <c r="D791" t="s">
        <v>14</v>
      </c>
      <c r="E791">
        <v>2025</v>
      </c>
      <c r="F791" t="s">
        <v>21</v>
      </c>
      <c r="G791" t="s">
        <v>32</v>
      </c>
      <c r="H791">
        <v>12</v>
      </c>
      <c r="I791">
        <v>20150</v>
      </c>
      <c r="J791" t="s">
        <v>33</v>
      </c>
      <c r="K791" s="3"/>
      <c r="N791" s="6">
        <f>IF(Tabela5[[#This Row],[Dim_Cenario'[Nome Cenario']]]=Tabela5[[#Headers],[INIC Atual]],Tabela5[[#This Row],['[Valores_cenario']]],0)</f>
        <v>0</v>
      </c>
      <c r="O791" s="6">
        <f>IF(Tabela5[[#This Row],[Dim_Cenario'[Nome Cenario']]]=Tabela5[[#Headers],[Revisado]],Tabela5[[#This Row],['[Valores_cenario']]],0)</f>
        <v>20150</v>
      </c>
      <c r="P791" s="6">
        <f>IF(Tabela5[[#This Row],[Dim_Cenario'[Nome Cenario']]]=Tabela5[[#Headers],[Realizado]],Tabela5[[#This Row],['[Valores_cenario']]],0)</f>
        <v>0</v>
      </c>
    </row>
    <row r="792" hidden="1" spans="1:16">
      <c r="A792" t="s">
        <v>97</v>
      </c>
      <c r="B792" t="s">
        <v>18</v>
      </c>
      <c r="C792" t="s">
        <v>98</v>
      </c>
      <c r="D792" t="s">
        <v>15</v>
      </c>
      <c r="E792">
        <v>2023</v>
      </c>
      <c r="F792" t="s">
        <v>21</v>
      </c>
      <c r="G792" t="s">
        <v>24</v>
      </c>
      <c r="H792">
        <v>11</v>
      </c>
      <c r="I792">
        <v>93.41</v>
      </c>
      <c r="J792" t="s">
        <v>23</v>
      </c>
      <c r="K792" s="3">
        <v>45260</v>
      </c>
      <c r="L792" t="s">
        <v>50</v>
      </c>
      <c r="M792" t="s">
        <v>511</v>
      </c>
      <c r="N792" s="6">
        <f>IF(Tabela5[[#This Row],[Dim_Cenario'[Nome Cenario']]]=Tabela5[[#Headers],[INIC Atual]],Tabela5[[#This Row],['[Valores_cenario']]],0)</f>
        <v>0</v>
      </c>
      <c r="O792" s="6">
        <f>IF(Tabela5[[#This Row],[Dim_Cenario'[Nome Cenario']]]=Tabela5[[#Headers],[Revisado]],Tabela5[[#This Row],['[Valores_cenario']]],0)</f>
        <v>0</v>
      </c>
      <c r="P792" s="6">
        <f>IF(Tabela5[[#This Row],[Dim_Cenario'[Nome Cenario']]]=Tabela5[[#Headers],[Realizado]],Tabela5[[#This Row],['[Valores_cenario']]],0)</f>
        <v>93.41</v>
      </c>
    </row>
    <row r="793" hidden="1" spans="1:16">
      <c r="A793" t="s">
        <v>97</v>
      </c>
      <c r="B793" t="s">
        <v>18</v>
      </c>
      <c r="C793" t="s">
        <v>98</v>
      </c>
      <c r="D793" t="s">
        <v>15</v>
      </c>
      <c r="E793">
        <v>2023</v>
      </c>
      <c r="F793" t="s">
        <v>21</v>
      </c>
      <c r="G793" t="s">
        <v>24</v>
      </c>
      <c r="H793">
        <v>11</v>
      </c>
      <c r="I793">
        <v>35029</v>
      </c>
      <c r="J793" t="s">
        <v>23</v>
      </c>
      <c r="K793" s="3">
        <v>45260</v>
      </c>
      <c r="L793" t="s">
        <v>512</v>
      </c>
      <c r="M793" t="s">
        <v>513</v>
      </c>
      <c r="N793" s="6">
        <f>IF(Tabela5[[#This Row],[Dim_Cenario'[Nome Cenario']]]=Tabela5[[#Headers],[INIC Atual]],Tabela5[[#This Row],['[Valores_cenario']]],0)</f>
        <v>0</v>
      </c>
      <c r="O793" s="6">
        <f>IF(Tabela5[[#This Row],[Dim_Cenario'[Nome Cenario']]]=Tabela5[[#Headers],[Revisado]],Tabela5[[#This Row],['[Valores_cenario']]],0)</f>
        <v>0</v>
      </c>
      <c r="P793" s="6">
        <f>IF(Tabela5[[#This Row],[Dim_Cenario'[Nome Cenario']]]=Tabela5[[#Headers],[Realizado]],Tabela5[[#This Row],['[Valores_cenario']]],0)</f>
        <v>35029</v>
      </c>
    </row>
    <row r="794" hidden="1" spans="1:16">
      <c r="A794" t="s">
        <v>97</v>
      </c>
      <c r="B794" t="s">
        <v>18</v>
      </c>
      <c r="C794" t="s">
        <v>98</v>
      </c>
      <c r="D794" t="s">
        <v>15</v>
      </c>
      <c r="E794">
        <v>2023</v>
      </c>
      <c r="F794" t="s">
        <v>21</v>
      </c>
      <c r="G794" t="s">
        <v>32</v>
      </c>
      <c r="H794">
        <v>12</v>
      </c>
      <c r="I794">
        <v>-93.41</v>
      </c>
      <c r="J794" t="s">
        <v>23</v>
      </c>
      <c r="K794" s="3">
        <v>45266</v>
      </c>
      <c r="L794" t="s">
        <v>50</v>
      </c>
      <c r="M794" t="s">
        <v>511</v>
      </c>
      <c r="N794" s="6">
        <f>IF(Tabela5[[#This Row],[Dim_Cenario'[Nome Cenario']]]=Tabela5[[#Headers],[INIC Atual]],Tabela5[[#This Row],['[Valores_cenario']]],0)</f>
        <v>0</v>
      </c>
      <c r="O794" s="6">
        <f>IF(Tabela5[[#This Row],[Dim_Cenario'[Nome Cenario']]]=Tabela5[[#Headers],[Revisado]],Tabela5[[#This Row],['[Valores_cenario']]],0)</f>
        <v>0</v>
      </c>
      <c r="P794" s="6">
        <f>IF(Tabela5[[#This Row],[Dim_Cenario'[Nome Cenario']]]=Tabela5[[#Headers],[Realizado]],Tabela5[[#This Row],['[Valores_cenario']]],0)</f>
        <v>-93.41</v>
      </c>
    </row>
    <row r="795" hidden="1" spans="1:16">
      <c r="A795" t="s">
        <v>17</v>
      </c>
      <c r="B795" t="s">
        <v>92</v>
      </c>
      <c r="C795" t="s">
        <v>37</v>
      </c>
      <c r="D795" t="s">
        <v>14</v>
      </c>
      <c r="E795">
        <v>2025</v>
      </c>
      <c r="F795" t="s">
        <v>21</v>
      </c>
      <c r="G795" t="s">
        <v>22</v>
      </c>
      <c r="H795">
        <v>10</v>
      </c>
      <c r="I795">
        <v>48869</v>
      </c>
      <c r="J795" t="s">
        <v>33</v>
      </c>
      <c r="K795" s="3"/>
      <c r="N795" s="6">
        <f>IF(Tabela5[[#This Row],[Dim_Cenario'[Nome Cenario']]]=Tabela5[[#Headers],[INIC Atual]],Tabela5[[#This Row],['[Valores_cenario']]],0)</f>
        <v>0</v>
      </c>
      <c r="O795" s="6">
        <f>IF(Tabela5[[#This Row],[Dim_Cenario'[Nome Cenario']]]=Tabela5[[#Headers],[Revisado]],Tabela5[[#This Row],['[Valores_cenario']]],0)</f>
        <v>48869</v>
      </c>
      <c r="P795" s="6">
        <f>IF(Tabela5[[#This Row],[Dim_Cenario'[Nome Cenario']]]=Tabela5[[#Headers],[Realizado]],Tabela5[[#This Row],['[Valores_cenario']]],0)</f>
        <v>0</v>
      </c>
    </row>
    <row r="796" hidden="1" spans="1:16">
      <c r="A796" t="s">
        <v>17</v>
      </c>
      <c r="B796" t="s">
        <v>18</v>
      </c>
      <c r="C796" t="s">
        <v>96</v>
      </c>
      <c r="D796" t="s">
        <v>15</v>
      </c>
      <c r="E796">
        <v>2023</v>
      </c>
      <c r="F796" t="s">
        <v>21</v>
      </c>
      <c r="G796" t="s">
        <v>32</v>
      </c>
      <c r="H796">
        <v>12</v>
      </c>
      <c r="I796">
        <v>95730.71</v>
      </c>
      <c r="J796" t="s">
        <v>23</v>
      </c>
      <c r="K796" s="3">
        <v>45275</v>
      </c>
      <c r="L796" t="s">
        <v>487</v>
      </c>
      <c r="M796" t="s">
        <v>514</v>
      </c>
      <c r="N796" s="6">
        <f>IF(Tabela5[[#This Row],[Dim_Cenario'[Nome Cenario']]]=Tabela5[[#Headers],[INIC Atual]],Tabela5[[#This Row],['[Valores_cenario']]],0)</f>
        <v>0</v>
      </c>
      <c r="O796" s="6">
        <f>IF(Tabela5[[#This Row],[Dim_Cenario'[Nome Cenario']]]=Tabela5[[#Headers],[Revisado]],Tabela5[[#This Row],['[Valores_cenario']]],0)</f>
        <v>0</v>
      </c>
      <c r="P796" s="6">
        <f>IF(Tabela5[[#This Row],[Dim_Cenario'[Nome Cenario']]]=Tabela5[[#Headers],[Realizado]],Tabela5[[#This Row],['[Valores_cenario']]],0)</f>
        <v>95730.71</v>
      </c>
    </row>
    <row r="797" hidden="1" spans="1:16">
      <c r="A797" t="s">
        <v>97</v>
      </c>
      <c r="B797" t="s">
        <v>18</v>
      </c>
      <c r="C797" t="s">
        <v>98</v>
      </c>
      <c r="D797" t="s">
        <v>15</v>
      </c>
      <c r="E797">
        <v>2023</v>
      </c>
      <c r="F797" t="s">
        <v>21</v>
      </c>
      <c r="G797" t="s">
        <v>32</v>
      </c>
      <c r="H797">
        <v>12</v>
      </c>
      <c r="I797">
        <v>15811</v>
      </c>
      <c r="J797" t="s">
        <v>23</v>
      </c>
      <c r="K797" s="3">
        <v>45279</v>
      </c>
      <c r="L797" t="s">
        <v>512</v>
      </c>
      <c r="M797" t="s">
        <v>515</v>
      </c>
      <c r="N797" s="6">
        <f>IF(Tabela5[[#This Row],[Dim_Cenario'[Nome Cenario']]]=Tabela5[[#Headers],[INIC Atual]],Tabela5[[#This Row],['[Valores_cenario']]],0)</f>
        <v>0</v>
      </c>
      <c r="O797" s="6">
        <f>IF(Tabela5[[#This Row],[Dim_Cenario'[Nome Cenario']]]=Tabela5[[#Headers],[Revisado]],Tabela5[[#This Row],['[Valores_cenario']]],0)</f>
        <v>0</v>
      </c>
      <c r="P797" s="6">
        <f>IF(Tabela5[[#This Row],[Dim_Cenario'[Nome Cenario']]]=Tabela5[[#Headers],[Realizado]],Tabela5[[#This Row],['[Valores_cenario']]],0)</f>
        <v>15811</v>
      </c>
    </row>
    <row r="798" hidden="1" spans="1:16">
      <c r="A798" t="s">
        <v>97</v>
      </c>
      <c r="B798" t="s">
        <v>18</v>
      </c>
      <c r="C798" t="s">
        <v>98</v>
      </c>
      <c r="D798" t="s">
        <v>15</v>
      </c>
      <c r="E798">
        <v>2023</v>
      </c>
      <c r="F798" t="s">
        <v>21</v>
      </c>
      <c r="G798" t="s">
        <v>32</v>
      </c>
      <c r="H798">
        <v>12</v>
      </c>
      <c r="I798">
        <v>93.41</v>
      </c>
      <c r="J798" t="s">
        <v>23</v>
      </c>
      <c r="K798" s="3">
        <v>45291</v>
      </c>
      <c r="L798" t="s">
        <v>50</v>
      </c>
      <c r="M798" t="s">
        <v>511</v>
      </c>
      <c r="N798" s="6">
        <f>IF(Tabela5[[#This Row],[Dim_Cenario'[Nome Cenario']]]=Tabela5[[#Headers],[INIC Atual]],Tabela5[[#This Row],['[Valores_cenario']]],0)</f>
        <v>0</v>
      </c>
      <c r="O798" s="6">
        <f>IF(Tabela5[[#This Row],[Dim_Cenario'[Nome Cenario']]]=Tabela5[[#Headers],[Revisado]],Tabela5[[#This Row],['[Valores_cenario']]],0)</f>
        <v>0</v>
      </c>
      <c r="P798" s="6">
        <f>IF(Tabela5[[#This Row],[Dim_Cenario'[Nome Cenario']]]=Tabela5[[#Headers],[Realizado]],Tabela5[[#This Row],['[Valores_cenario']]],0)</f>
        <v>93.41</v>
      </c>
    </row>
    <row r="799" hidden="1" spans="1:16">
      <c r="A799" t="s">
        <v>97</v>
      </c>
      <c r="B799" t="s">
        <v>18</v>
      </c>
      <c r="C799" t="s">
        <v>98</v>
      </c>
      <c r="D799" t="s">
        <v>15</v>
      </c>
      <c r="E799">
        <v>2023</v>
      </c>
      <c r="F799" t="s">
        <v>21</v>
      </c>
      <c r="G799" t="s">
        <v>32</v>
      </c>
      <c r="H799">
        <v>12</v>
      </c>
      <c r="I799">
        <v>93.41</v>
      </c>
      <c r="J799" t="s">
        <v>23</v>
      </c>
      <c r="K799" s="3">
        <v>45291</v>
      </c>
      <c r="L799" t="s">
        <v>50</v>
      </c>
      <c r="M799" t="s">
        <v>516</v>
      </c>
      <c r="N799" s="6">
        <f>IF(Tabela5[[#This Row],[Dim_Cenario'[Nome Cenario']]]=Tabela5[[#Headers],[INIC Atual]],Tabela5[[#This Row],['[Valores_cenario']]],0)</f>
        <v>0</v>
      </c>
      <c r="O799" s="6">
        <f>IF(Tabela5[[#This Row],[Dim_Cenario'[Nome Cenario']]]=Tabela5[[#Headers],[Revisado]],Tabela5[[#This Row],['[Valores_cenario']]],0)</f>
        <v>0</v>
      </c>
      <c r="P799" s="6">
        <f>IF(Tabela5[[#This Row],[Dim_Cenario'[Nome Cenario']]]=Tabela5[[#Headers],[Realizado]],Tabela5[[#This Row],['[Valores_cenario']]],0)</f>
        <v>93.41</v>
      </c>
    </row>
    <row r="800" spans="1:16">
      <c r="A800" t="s">
        <v>17</v>
      </c>
      <c r="B800" t="s">
        <v>18</v>
      </c>
      <c r="C800" t="s">
        <v>37</v>
      </c>
      <c r="D800" t="s">
        <v>15</v>
      </c>
      <c r="E800">
        <v>2021</v>
      </c>
      <c r="F800" t="s">
        <v>27</v>
      </c>
      <c r="G800" t="s">
        <v>29</v>
      </c>
      <c r="H800">
        <v>6</v>
      </c>
      <c r="I800">
        <v>344</v>
      </c>
      <c r="J800" t="s">
        <v>36</v>
      </c>
      <c r="K800" s="3">
        <v>44348</v>
      </c>
      <c r="L800" t="s">
        <v>517</v>
      </c>
      <c r="M800" t="s">
        <v>518</v>
      </c>
      <c r="N800" s="6">
        <f>IF(Tabela5[[#This Row],[Dim_Cenario'[Nome Cenario']]]=Tabela5[[#Headers],[INIC Atual]],Tabela5[[#This Row],['[Valores_cenario']]],0)</f>
        <v>0</v>
      </c>
      <c r="O800" s="6">
        <f>IF(Tabela5[[#This Row],[Dim_Cenario'[Nome Cenario']]]=Tabela5[[#Headers],[Revisado]],Tabela5[[#This Row],['[Valores_cenario']]],0)</f>
        <v>0</v>
      </c>
      <c r="P800" s="6">
        <f>IF(Tabela5[[#This Row],[Dim_Cenario'[Nome Cenario']]]=Tabela5[[#Headers],[Realizado]],Tabela5[[#This Row],['[Valores_cenario']]],0)</f>
        <v>344</v>
      </c>
    </row>
    <row r="801" hidden="1" spans="1:16">
      <c r="A801" t="s">
        <v>97</v>
      </c>
      <c r="B801" t="s">
        <v>18</v>
      </c>
      <c r="C801" t="s">
        <v>98</v>
      </c>
      <c r="D801" t="s">
        <v>15</v>
      </c>
      <c r="E801">
        <v>2024</v>
      </c>
      <c r="F801" t="s">
        <v>25</v>
      </c>
      <c r="G801" t="s">
        <v>35</v>
      </c>
      <c r="H801">
        <v>1</v>
      </c>
      <c r="I801">
        <v>-93.41</v>
      </c>
      <c r="J801" t="s">
        <v>23</v>
      </c>
      <c r="K801" s="3">
        <v>45296</v>
      </c>
      <c r="L801" t="s">
        <v>50</v>
      </c>
      <c r="M801" t="s">
        <v>511</v>
      </c>
      <c r="N801" s="6">
        <f>IF(Tabela5[[#This Row],[Dim_Cenario'[Nome Cenario']]]=Tabela5[[#Headers],[INIC Atual]],Tabela5[[#This Row],['[Valores_cenario']]],0)</f>
        <v>0</v>
      </c>
      <c r="O801" s="6">
        <f>IF(Tabela5[[#This Row],[Dim_Cenario'[Nome Cenario']]]=Tabela5[[#Headers],[Revisado]],Tabela5[[#This Row],['[Valores_cenario']]],0)</f>
        <v>0</v>
      </c>
      <c r="P801" s="6">
        <f>IF(Tabela5[[#This Row],[Dim_Cenario'[Nome Cenario']]]=Tabela5[[#Headers],[Realizado]],Tabela5[[#This Row],['[Valores_cenario']]],0)</f>
        <v>-93.41</v>
      </c>
    </row>
    <row r="802" hidden="1" spans="1:16">
      <c r="A802" t="s">
        <v>97</v>
      </c>
      <c r="B802" t="s">
        <v>18</v>
      </c>
      <c r="C802" t="s">
        <v>98</v>
      </c>
      <c r="D802" t="s">
        <v>15</v>
      </c>
      <c r="E802">
        <v>2024</v>
      </c>
      <c r="F802" t="s">
        <v>25</v>
      </c>
      <c r="G802" t="s">
        <v>35</v>
      </c>
      <c r="H802">
        <v>1</v>
      </c>
      <c r="I802">
        <v>-93.41</v>
      </c>
      <c r="J802" t="s">
        <v>23</v>
      </c>
      <c r="K802" s="3">
        <v>45296</v>
      </c>
      <c r="L802" t="s">
        <v>50</v>
      </c>
      <c r="M802" t="s">
        <v>516</v>
      </c>
      <c r="N802" s="6">
        <f>IF(Tabela5[[#This Row],[Dim_Cenario'[Nome Cenario']]]=Tabela5[[#Headers],[INIC Atual]],Tabela5[[#This Row],['[Valores_cenario']]],0)</f>
        <v>0</v>
      </c>
      <c r="O802" s="6">
        <f>IF(Tabela5[[#This Row],[Dim_Cenario'[Nome Cenario']]]=Tabela5[[#Headers],[Revisado]],Tabela5[[#This Row],['[Valores_cenario']]],0)</f>
        <v>0</v>
      </c>
      <c r="P802" s="6">
        <f>IF(Tabela5[[#This Row],[Dim_Cenario'[Nome Cenario']]]=Tabela5[[#Headers],[Realizado]],Tabela5[[#This Row],['[Valores_cenario']]],0)</f>
        <v>-93.41</v>
      </c>
    </row>
    <row r="803" hidden="1" spans="1:16">
      <c r="A803" t="s">
        <v>97</v>
      </c>
      <c r="B803" t="s">
        <v>18</v>
      </c>
      <c r="C803" t="s">
        <v>99</v>
      </c>
      <c r="D803" t="s">
        <v>15</v>
      </c>
      <c r="E803">
        <v>2024</v>
      </c>
      <c r="F803" t="s">
        <v>25</v>
      </c>
      <c r="G803" t="s">
        <v>35</v>
      </c>
      <c r="H803">
        <v>1</v>
      </c>
      <c r="I803">
        <v>422170</v>
      </c>
      <c r="J803" t="s">
        <v>23</v>
      </c>
      <c r="K803" s="3">
        <v>45307</v>
      </c>
      <c r="L803" t="s">
        <v>505</v>
      </c>
      <c r="M803" t="s">
        <v>519</v>
      </c>
      <c r="N803" s="6">
        <f>IF(Tabela5[[#This Row],[Dim_Cenario'[Nome Cenario']]]=Tabela5[[#Headers],[INIC Atual]],Tabela5[[#This Row],['[Valores_cenario']]],0)</f>
        <v>0</v>
      </c>
      <c r="O803" s="6">
        <f>IF(Tabela5[[#This Row],[Dim_Cenario'[Nome Cenario']]]=Tabela5[[#Headers],[Revisado]],Tabela5[[#This Row],['[Valores_cenario']]],0)</f>
        <v>0</v>
      </c>
      <c r="P803" s="6">
        <f>IF(Tabela5[[#This Row],[Dim_Cenario'[Nome Cenario']]]=Tabela5[[#Headers],[Realizado]],Tabela5[[#This Row],['[Valores_cenario']]],0)</f>
        <v>422170</v>
      </c>
    </row>
    <row r="804" spans="1:16">
      <c r="A804" t="s">
        <v>17</v>
      </c>
      <c r="B804" t="s">
        <v>18</v>
      </c>
      <c r="C804" t="s">
        <v>37</v>
      </c>
      <c r="D804" t="s">
        <v>15</v>
      </c>
      <c r="E804">
        <v>2022</v>
      </c>
      <c r="F804" t="s">
        <v>30</v>
      </c>
      <c r="G804" t="s">
        <v>40</v>
      </c>
      <c r="H804">
        <v>7</v>
      </c>
      <c r="I804">
        <v>340</v>
      </c>
      <c r="J804" t="s">
        <v>23</v>
      </c>
      <c r="K804" s="3">
        <v>44756</v>
      </c>
      <c r="L804" t="s">
        <v>520</v>
      </c>
      <c r="M804" t="s">
        <v>521</v>
      </c>
      <c r="N804" s="6">
        <f>IF(Tabela5[[#This Row],[Dim_Cenario'[Nome Cenario']]]=Tabela5[[#Headers],[INIC Atual]],Tabela5[[#This Row],['[Valores_cenario']]],0)</f>
        <v>0</v>
      </c>
      <c r="O804" s="6">
        <f>IF(Tabela5[[#This Row],[Dim_Cenario'[Nome Cenario']]]=Tabela5[[#Headers],[Revisado]],Tabela5[[#This Row],['[Valores_cenario']]],0)</f>
        <v>0</v>
      </c>
      <c r="P804" s="6">
        <f>IF(Tabela5[[#This Row],[Dim_Cenario'[Nome Cenario']]]=Tabela5[[#Headers],[Realizado]],Tabela5[[#This Row],['[Valores_cenario']]],0)</f>
        <v>340</v>
      </c>
    </row>
    <row r="805" hidden="1" spans="1:16">
      <c r="A805" t="s">
        <v>97</v>
      </c>
      <c r="B805" t="s">
        <v>18</v>
      </c>
      <c r="C805" t="s">
        <v>98</v>
      </c>
      <c r="D805" t="s">
        <v>15</v>
      </c>
      <c r="E805">
        <v>2024</v>
      </c>
      <c r="F805" t="s">
        <v>25</v>
      </c>
      <c r="G805" t="s">
        <v>35</v>
      </c>
      <c r="H805">
        <v>1</v>
      </c>
      <c r="I805">
        <v>10254</v>
      </c>
      <c r="J805" t="s">
        <v>23</v>
      </c>
      <c r="K805" s="3">
        <v>45315</v>
      </c>
      <c r="L805" t="s">
        <v>512</v>
      </c>
      <c r="M805" t="s">
        <v>522</v>
      </c>
      <c r="N805" s="6">
        <f>IF(Tabela5[[#This Row],[Dim_Cenario'[Nome Cenario']]]=Tabela5[[#Headers],[INIC Atual]],Tabela5[[#This Row],['[Valores_cenario']]],0)</f>
        <v>0</v>
      </c>
      <c r="O805" s="6">
        <f>IF(Tabela5[[#This Row],[Dim_Cenario'[Nome Cenario']]]=Tabela5[[#Headers],[Revisado]],Tabela5[[#This Row],['[Valores_cenario']]],0)</f>
        <v>0</v>
      </c>
      <c r="P805" s="6">
        <f>IF(Tabela5[[#This Row],[Dim_Cenario'[Nome Cenario']]]=Tabela5[[#Headers],[Realizado]],Tabela5[[#This Row],['[Valores_cenario']]],0)</f>
        <v>10254</v>
      </c>
    </row>
    <row r="806" hidden="1" spans="1:16">
      <c r="A806" t="s">
        <v>17</v>
      </c>
      <c r="B806" t="s">
        <v>18</v>
      </c>
      <c r="C806" t="s">
        <v>19</v>
      </c>
      <c r="D806" t="s">
        <v>15</v>
      </c>
      <c r="E806">
        <v>2024</v>
      </c>
      <c r="F806" t="s">
        <v>25</v>
      </c>
      <c r="G806" t="s">
        <v>35</v>
      </c>
      <c r="H806">
        <v>1</v>
      </c>
      <c r="I806">
        <v>13845.79</v>
      </c>
      <c r="J806" t="s">
        <v>23</v>
      </c>
      <c r="K806" s="3">
        <v>45321</v>
      </c>
      <c r="L806" t="s">
        <v>507</v>
      </c>
      <c r="M806" t="s">
        <v>523</v>
      </c>
      <c r="N806" s="6">
        <f>IF(Tabela5[[#This Row],[Dim_Cenario'[Nome Cenario']]]=Tabela5[[#Headers],[INIC Atual]],Tabela5[[#This Row],['[Valores_cenario']]],0)</f>
        <v>0</v>
      </c>
      <c r="O806" s="6">
        <f>IF(Tabela5[[#This Row],[Dim_Cenario'[Nome Cenario']]]=Tabela5[[#Headers],[Revisado]],Tabela5[[#This Row],['[Valores_cenario']]],0)</f>
        <v>0</v>
      </c>
      <c r="P806" s="6">
        <f>IF(Tabela5[[#This Row],[Dim_Cenario'[Nome Cenario']]]=Tabela5[[#Headers],[Realizado]],Tabela5[[#This Row],['[Valores_cenario']]],0)</f>
        <v>13845.79</v>
      </c>
    </row>
    <row r="807" hidden="1" spans="1:16">
      <c r="A807" t="s">
        <v>17</v>
      </c>
      <c r="B807" t="s">
        <v>18</v>
      </c>
      <c r="C807" t="s">
        <v>19</v>
      </c>
      <c r="D807" t="s">
        <v>15</v>
      </c>
      <c r="E807">
        <v>2024</v>
      </c>
      <c r="F807" t="s">
        <v>25</v>
      </c>
      <c r="G807" t="s">
        <v>35</v>
      </c>
      <c r="H807">
        <v>1</v>
      </c>
      <c r="I807">
        <v>7814.21</v>
      </c>
      <c r="J807" t="s">
        <v>23</v>
      </c>
      <c r="K807" s="3">
        <v>45321</v>
      </c>
      <c r="L807" t="s">
        <v>507</v>
      </c>
      <c r="M807" t="s">
        <v>524</v>
      </c>
      <c r="N807" s="6">
        <f>IF(Tabela5[[#This Row],[Dim_Cenario'[Nome Cenario']]]=Tabela5[[#Headers],[INIC Atual]],Tabela5[[#This Row],['[Valores_cenario']]],0)</f>
        <v>0</v>
      </c>
      <c r="O807" s="6">
        <f>IF(Tabela5[[#This Row],[Dim_Cenario'[Nome Cenario']]]=Tabela5[[#Headers],[Revisado]],Tabela5[[#This Row],['[Valores_cenario']]],0)</f>
        <v>0</v>
      </c>
      <c r="P807" s="6">
        <f>IF(Tabela5[[#This Row],[Dim_Cenario'[Nome Cenario']]]=Tabela5[[#Headers],[Realizado]],Tabela5[[#This Row],['[Valores_cenario']]],0)</f>
        <v>7814.21</v>
      </c>
    </row>
    <row r="808" hidden="1" spans="1:16">
      <c r="A808" t="s">
        <v>97</v>
      </c>
      <c r="B808" t="s">
        <v>18</v>
      </c>
      <c r="C808" t="s">
        <v>98</v>
      </c>
      <c r="D808" t="s">
        <v>15</v>
      </c>
      <c r="E808">
        <v>2024</v>
      </c>
      <c r="F808" t="s">
        <v>25</v>
      </c>
      <c r="G808" t="s">
        <v>35</v>
      </c>
      <c r="H808">
        <v>1</v>
      </c>
      <c r="I808">
        <v>93.41</v>
      </c>
      <c r="J808" t="s">
        <v>23</v>
      </c>
      <c r="K808" s="3">
        <v>45322</v>
      </c>
      <c r="L808" t="s">
        <v>50</v>
      </c>
      <c r="M808" t="s">
        <v>525</v>
      </c>
      <c r="N808" s="6">
        <f>IF(Tabela5[[#This Row],[Dim_Cenario'[Nome Cenario']]]=Tabela5[[#Headers],[INIC Atual]],Tabela5[[#This Row],['[Valores_cenario']]],0)</f>
        <v>0</v>
      </c>
      <c r="O808" s="6">
        <f>IF(Tabela5[[#This Row],[Dim_Cenario'[Nome Cenario']]]=Tabela5[[#Headers],[Revisado]],Tabela5[[#This Row],['[Valores_cenario']]],0)</f>
        <v>0</v>
      </c>
      <c r="P808" s="6">
        <f>IF(Tabela5[[#This Row],[Dim_Cenario'[Nome Cenario']]]=Tabela5[[#Headers],[Realizado]],Tabela5[[#This Row],['[Valores_cenario']]],0)</f>
        <v>93.41</v>
      </c>
    </row>
    <row r="809" hidden="1" spans="1:16">
      <c r="A809" t="s">
        <v>97</v>
      </c>
      <c r="B809" t="s">
        <v>18</v>
      </c>
      <c r="C809" t="s">
        <v>98</v>
      </c>
      <c r="D809" t="s">
        <v>15</v>
      </c>
      <c r="E809">
        <v>2024</v>
      </c>
      <c r="F809" t="s">
        <v>25</v>
      </c>
      <c r="G809" t="s">
        <v>35</v>
      </c>
      <c r="H809">
        <v>1</v>
      </c>
      <c r="I809">
        <v>93.41</v>
      </c>
      <c r="J809" t="s">
        <v>23</v>
      </c>
      <c r="K809" s="3">
        <v>45322</v>
      </c>
      <c r="L809" t="s">
        <v>50</v>
      </c>
      <c r="M809" t="s">
        <v>511</v>
      </c>
      <c r="N809" s="6">
        <f>IF(Tabela5[[#This Row],[Dim_Cenario'[Nome Cenario']]]=Tabela5[[#Headers],[INIC Atual]],Tabela5[[#This Row],['[Valores_cenario']]],0)</f>
        <v>0</v>
      </c>
      <c r="O809" s="6">
        <f>IF(Tabela5[[#This Row],[Dim_Cenario'[Nome Cenario']]]=Tabela5[[#Headers],[Revisado]],Tabela5[[#This Row],['[Valores_cenario']]],0)</f>
        <v>0</v>
      </c>
      <c r="P809" s="6">
        <f>IF(Tabela5[[#This Row],[Dim_Cenario'[Nome Cenario']]]=Tabela5[[#Headers],[Realizado]],Tabela5[[#This Row],['[Valores_cenario']]],0)</f>
        <v>93.41</v>
      </c>
    </row>
    <row r="810" hidden="1" spans="1:16">
      <c r="A810" t="s">
        <v>97</v>
      </c>
      <c r="B810" t="s">
        <v>18</v>
      </c>
      <c r="C810" t="s">
        <v>99</v>
      </c>
      <c r="D810" t="s">
        <v>15</v>
      </c>
      <c r="E810">
        <v>2024</v>
      </c>
      <c r="F810" t="s">
        <v>25</v>
      </c>
      <c r="G810" t="s">
        <v>35</v>
      </c>
      <c r="H810">
        <v>1</v>
      </c>
      <c r="I810">
        <v>422170</v>
      </c>
      <c r="J810" t="s">
        <v>23</v>
      </c>
      <c r="K810" s="3">
        <v>45322</v>
      </c>
      <c r="L810" t="s">
        <v>50</v>
      </c>
      <c r="M810" t="s">
        <v>526</v>
      </c>
      <c r="N810" s="6">
        <f>IF(Tabela5[[#This Row],[Dim_Cenario'[Nome Cenario']]]=Tabela5[[#Headers],[INIC Atual]],Tabela5[[#This Row],['[Valores_cenario']]],0)</f>
        <v>0</v>
      </c>
      <c r="O810" s="6">
        <f>IF(Tabela5[[#This Row],[Dim_Cenario'[Nome Cenario']]]=Tabela5[[#Headers],[Revisado]],Tabela5[[#This Row],['[Valores_cenario']]],0)</f>
        <v>0</v>
      </c>
      <c r="P810" s="6">
        <f>IF(Tabela5[[#This Row],[Dim_Cenario'[Nome Cenario']]]=Tabela5[[#Headers],[Realizado]],Tabela5[[#This Row],['[Valores_cenario']]],0)</f>
        <v>422170</v>
      </c>
    </row>
    <row r="811" spans="1:16">
      <c r="A811" t="s">
        <v>17</v>
      </c>
      <c r="B811" t="s">
        <v>18</v>
      </c>
      <c r="C811" t="s">
        <v>37</v>
      </c>
      <c r="D811" t="s">
        <v>15</v>
      </c>
      <c r="E811">
        <v>2021</v>
      </c>
      <c r="F811" t="s">
        <v>30</v>
      </c>
      <c r="G811" t="s">
        <v>40</v>
      </c>
      <c r="H811">
        <v>7</v>
      </c>
      <c r="I811">
        <v>326.8</v>
      </c>
      <c r="J811" t="s">
        <v>36</v>
      </c>
      <c r="K811" s="3">
        <v>44397</v>
      </c>
      <c r="L811" t="s">
        <v>527</v>
      </c>
      <c r="M811" t="s">
        <v>528</v>
      </c>
      <c r="N811" s="6">
        <f>IF(Tabela5[[#This Row],[Dim_Cenario'[Nome Cenario']]]=Tabela5[[#Headers],[INIC Atual]],Tabela5[[#This Row],['[Valores_cenario']]],0)</f>
        <v>0</v>
      </c>
      <c r="O811" s="6">
        <f>IF(Tabela5[[#This Row],[Dim_Cenario'[Nome Cenario']]]=Tabela5[[#Headers],[Revisado]],Tabela5[[#This Row],['[Valores_cenario']]],0)</f>
        <v>0</v>
      </c>
      <c r="P811" s="6">
        <f>IF(Tabela5[[#This Row],[Dim_Cenario'[Nome Cenario']]]=Tabela5[[#Headers],[Realizado]],Tabela5[[#This Row],['[Valores_cenario']]],0)</f>
        <v>326.8</v>
      </c>
    </row>
    <row r="812" hidden="1" spans="1:16">
      <c r="A812" t="s">
        <v>97</v>
      </c>
      <c r="B812" t="s">
        <v>18</v>
      </c>
      <c r="C812" t="s">
        <v>98</v>
      </c>
      <c r="D812" t="s">
        <v>15</v>
      </c>
      <c r="E812">
        <v>2024</v>
      </c>
      <c r="F812" t="s">
        <v>25</v>
      </c>
      <c r="G812" t="s">
        <v>26</v>
      </c>
      <c r="H812">
        <v>2</v>
      </c>
      <c r="I812">
        <v>-93.41</v>
      </c>
      <c r="J812" t="s">
        <v>23</v>
      </c>
      <c r="K812" s="3">
        <v>45328</v>
      </c>
      <c r="L812" t="s">
        <v>50</v>
      </c>
      <c r="M812" t="s">
        <v>525</v>
      </c>
      <c r="N812" s="6">
        <f>IF(Tabela5[[#This Row],[Dim_Cenario'[Nome Cenario']]]=Tabela5[[#Headers],[INIC Atual]],Tabela5[[#This Row],['[Valores_cenario']]],0)</f>
        <v>0</v>
      </c>
      <c r="O812" s="6">
        <f>IF(Tabela5[[#This Row],[Dim_Cenario'[Nome Cenario']]]=Tabela5[[#Headers],[Revisado]],Tabela5[[#This Row],['[Valores_cenario']]],0)</f>
        <v>0</v>
      </c>
      <c r="P812" s="6">
        <f>IF(Tabela5[[#This Row],[Dim_Cenario'[Nome Cenario']]]=Tabela5[[#Headers],[Realizado]],Tabela5[[#This Row],['[Valores_cenario']]],0)</f>
        <v>-93.41</v>
      </c>
    </row>
    <row r="813" hidden="1" spans="1:16">
      <c r="A813" t="s">
        <v>97</v>
      </c>
      <c r="B813" t="s">
        <v>18</v>
      </c>
      <c r="C813" t="s">
        <v>98</v>
      </c>
      <c r="D813" t="s">
        <v>15</v>
      </c>
      <c r="E813">
        <v>2024</v>
      </c>
      <c r="F813" t="s">
        <v>25</v>
      </c>
      <c r="G813" t="s">
        <v>26</v>
      </c>
      <c r="H813">
        <v>2</v>
      </c>
      <c r="I813">
        <v>-93.41</v>
      </c>
      <c r="J813" t="s">
        <v>23</v>
      </c>
      <c r="K813" s="3">
        <v>45328</v>
      </c>
      <c r="L813" t="s">
        <v>50</v>
      </c>
      <c r="M813" t="s">
        <v>511</v>
      </c>
      <c r="N813" s="6">
        <f>IF(Tabela5[[#This Row],[Dim_Cenario'[Nome Cenario']]]=Tabela5[[#Headers],[INIC Atual]],Tabela5[[#This Row],['[Valores_cenario']]],0)</f>
        <v>0</v>
      </c>
      <c r="O813" s="6">
        <f>IF(Tabela5[[#This Row],[Dim_Cenario'[Nome Cenario']]]=Tabela5[[#Headers],[Revisado]],Tabela5[[#This Row],['[Valores_cenario']]],0)</f>
        <v>0</v>
      </c>
      <c r="P813" s="6">
        <f>IF(Tabela5[[#This Row],[Dim_Cenario'[Nome Cenario']]]=Tabela5[[#Headers],[Realizado]],Tabela5[[#This Row],['[Valores_cenario']]],0)</f>
        <v>-93.41</v>
      </c>
    </row>
    <row r="814" hidden="1" spans="1:16">
      <c r="A814" t="s">
        <v>97</v>
      </c>
      <c r="B814" t="s">
        <v>18</v>
      </c>
      <c r="C814" t="s">
        <v>99</v>
      </c>
      <c r="D814" t="s">
        <v>15</v>
      </c>
      <c r="E814">
        <v>2024</v>
      </c>
      <c r="F814" t="s">
        <v>25</v>
      </c>
      <c r="G814" t="s">
        <v>26</v>
      </c>
      <c r="H814">
        <v>2</v>
      </c>
      <c r="I814">
        <v>-422170</v>
      </c>
      <c r="J814" t="s">
        <v>23</v>
      </c>
      <c r="K814" s="3">
        <v>45328</v>
      </c>
      <c r="L814" t="s">
        <v>50</v>
      </c>
      <c r="M814" t="s">
        <v>526</v>
      </c>
      <c r="N814" s="6">
        <f>IF(Tabela5[[#This Row],[Dim_Cenario'[Nome Cenario']]]=Tabela5[[#Headers],[INIC Atual]],Tabela5[[#This Row],['[Valores_cenario']]],0)</f>
        <v>0</v>
      </c>
      <c r="O814" s="6">
        <f>IF(Tabela5[[#This Row],[Dim_Cenario'[Nome Cenario']]]=Tabela5[[#Headers],[Revisado]],Tabela5[[#This Row],['[Valores_cenario']]],0)</f>
        <v>0</v>
      </c>
      <c r="P814" s="6">
        <f>IF(Tabela5[[#This Row],[Dim_Cenario'[Nome Cenario']]]=Tabela5[[#Headers],[Realizado]],Tabela5[[#This Row],['[Valores_cenario']]],0)</f>
        <v>-422170</v>
      </c>
    </row>
    <row r="815" hidden="1" spans="1:16">
      <c r="A815" t="s">
        <v>97</v>
      </c>
      <c r="B815" t="s">
        <v>18</v>
      </c>
      <c r="C815" t="s">
        <v>99</v>
      </c>
      <c r="D815" t="s">
        <v>15</v>
      </c>
      <c r="E815">
        <v>2024</v>
      </c>
      <c r="F815" t="s">
        <v>25</v>
      </c>
      <c r="G815" t="s">
        <v>26</v>
      </c>
      <c r="H815">
        <v>2</v>
      </c>
      <c r="I815">
        <v>422170</v>
      </c>
      <c r="J815" t="s">
        <v>23</v>
      </c>
      <c r="K815" s="3">
        <v>45328</v>
      </c>
      <c r="L815" t="s">
        <v>505</v>
      </c>
      <c r="M815" t="s">
        <v>529</v>
      </c>
      <c r="N815" s="6">
        <f>IF(Tabela5[[#This Row],[Dim_Cenario'[Nome Cenario']]]=Tabela5[[#Headers],[INIC Atual]],Tabela5[[#This Row],['[Valores_cenario']]],0)</f>
        <v>0</v>
      </c>
      <c r="O815" s="6">
        <f>IF(Tabela5[[#This Row],[Dim_Cenario'[Nome Cenario']]]=Tabela5[[#Headers],[Revisado]],Tabela5[[#This Row],['[Valores_cenario']]],0)</f>
        <v>0</v>
      </c>
      <c r="P815" s="6">
        <f>IF(Tabela5[[#This Row],[Dim_Cenario'[Nome Cenario']]]=Tabela5[[#Headers],[Realizado]],Tabela5[[#This Row],['[Valores_cenario']]],0)</f>
        <v>422170</v>
      </c>
    </row>
    <row r="816" hidden="1" spans="1:16">
      <c r="A816" t="s">
        <v>97</v>
      </c>
      <c r="B816" t="s">
        <v>18</v>
      </c>
      <c r="C816" t="s">
        <v>98</v>
      </c>
      <c r="D816" t="s">
        <v>15</v>
      </c>
      <c r="E816">
        <v>2024</v>
      </c>
      <c r="F816" t="s">
        <v>25</v>
      </c>
      <c r="G816" t="s">
        <v>26</v>
      </c>
      <c r="H816">
        <v>2</v>
      </c>
      <c r="I816">
        <v>10684</v>
      </c>
      <c r="J816" t="s">
        <v>23</v>
      </c>
      <c r="K816" s="3">
        <v>45349</v>
      </c>
      <c r="L816" t="s">
        <v>512</v>
      </c>
      <c r="M816" t="s">
        <v>530</v>
      </c>
      <c r="N816" s="6">
        <f>IF(Tabela5[[#This Row],[Dim_Cenario'[Nome Cenario']]]=Tabela5[[#Headers],[INIC Atual]],Tabela5[[#This Row],['[Valores_cenario']]],0)</f>
        <v>0</v>
      </c>
      <c r="O816" s="6">
        <f>IF(Tabela5[[#This Row],[Dim_Cenario'[Nome Cenario']]]=Tabela5[[#Headers],[Revisado]],Tabela5[[#This Row],['[Valores_cenario']]],0)</f>
        <v>0</v>
      </c>
      <c r="P816" s="6">
        <f>IF(Tabela5[[#This Row],[Dim_Cenario'[Nome Cenario']]]=Tabela5[[#Headers],[Realizado]],Tabela5[[#This Row],['[Valores_cenario']]],0)</f>
        <v>10684</v>
      </c>
    </row>
    <row r="817" hidden="1" spans="1:16">
      <c r="A817" t="s">
        <v>97</v>
      </c>
      <c r="B817" t="s">
        <v>18</v>
      </c>
      <c r="C817" t="s">
        <v>98</v>
      </c>
      <c r="D817" t="s">
        <v>15</v>
      </c>
      <c r="E817">
        <v>2024</v>
      </c>
      <c r="F817" t="s">
        <v>25</v>
      </c>
      <c r="G817" t="s">
        <v>26</v>
      </c>
      <c r="H817">
        <v>2</v>
      </c>
      <c r="I817">
        <v>93.41</v>
      </c>
      <c r="J817" t="s">
        <v>23</v>
      </c>
      <c r="K817" s="3">
        <v>45351</v>
      </c>
      <c r="L817" t="s">
        <v>50</v>
      </c>
      <c r="M817" t="s">
        <v>531</v>
      </c>
      <c r="N817" s="6">
        <f>IF(Tabela5[[#This Row],[Dim_Cenario'[Nome Cenario']]]=Tabela5[[#Headers],[INIC Atual]],Tabela5[[#This Row],['[Valores_cenario']]],0)</f>
        <v>0</v>
      </c>
      <c r="O817" s="6">
        <f>IF(Tabela5[[#This Row],[Dim_Cenario'[Nome Cenario']]]=Tabela5[[#Headers],[Revisado]],Tabela5[[#This Row],['[Valores_cenario']]],0)</f>
        <v>0</v>
      </c>
      <c r="P817" s="6">
        <f>IF(Tabela5[[#This Row],[Dim_Cenario'[Nome Cenario']]]=Tabela5[[#Headers],[Realizado]],Tabela5[[#This Row],['[Valores_cenario']]],0)</f>
        <v>93.41</v>
      </c>
    </row>
    <row r="818" hidden="1" spans="1:16">
      <c r="A818" t="s">
        <v>97</v>
      </c>
      <c r="B818" t="s">
        <v>18</v>
      </c>
      <c r="C818" t="s">
        <v>98</v>
      </c>
      <c r="D818" t="s">
        <v>15</v>
      </c>
      <c r="E818">
        <v>2024</v>
      </c>
      <c r="F818" t="s">
        <v>25</v>
      </c>
      <c r="G818" t="s">
        <v>26</v>
      </c>
      <c r="H818">
        <v>2</v>
      </c>
      <c r="I818">
        <v>93.41</v>
      </c>
      <c r="J818" t="s">
        <v>23</v>
      </c>
      <c r="K818" s="3">
        <v>45351</v>
      </c>
      <c r="L818" t="s">
        <v>50</v>
      </c>
      <c r="M818" t="s">
        <v>511</v>
      </c>
      <c r="N818" s="6">
        <f>IF(Tabela5[[#This Row],[Dim_Cenario'[Nome Cenario']]]=Tabela5[[#Headers],[INIC Atual]],Tabela5[[#This Row],['[Valores_cenario']]],0)</f>
        <v>0</v>
      </c>
      <c r="O818" s="6">
        <f>IF(Tabela5[[#This Row],[Dim_Cenario'[Nome Cenario']]]=Tabela5[[#Headers],[Revisado]],Tabela5[[#This Row],['[Valores_cenario']]],0)</f>
        <v>0</v>
      </c>
      <c r="P818" s="6">
        <f>IF(Tabela5[[#This Row],[Dim_Cenario'[Nome Cenario']]]=Tabela5[[#Headers],[Realizado]],Tabela5[[#This Row],['[Valores_cenario']]],0)</f>
        <v>93.41</v>
      </c>
    </row>
    <row r="819" hidden="1" spans="1:16">
      <c r="A819" t="s">
        <v>17</v>
      </c>
      <c r="B819" t="s">
        <v>18</v>
      </c>
      <c r="C819" t="s">
        <v>37</v>
      </c>
      <c r="D819" t="s">
        <v>15</v>
      </c>
      <c r="E819">
        <v>2025</v>
      </c>
      <c r="F819" t="s">
        <v>30</v>
      </c>
      <c r="G819" t="s">
        <v>40</v>
      </c>
      <c r="H819">
        <v>7</v>
      </c>
      <c r="I819">
        <v>153433</v>
      </c>
      <c r="J819" t="s">
        <v>33</v>
      </c>
      <c r="K819" s="3">
        <v>45859</v>
      </c>
      <c r="L819" t="s">
        <v>532</v>
      </c>
      <c r="M819" t="s">
        <v>533</v>
      </c>
      <c r="N819" s="6">
        <f>IF(Tabela5[[#This Row],[Dim_Cenario'[Nome Cenario']]]=Tabela5[[#Headers],[INIC Atual]],Tabela5[[#This Row],['[Valores_cenario']]],0)</f>
        <v>0</v>
      </c>
      <c r="O819" s="6">
        <f>IF(Tabela5[[#This Row],[Dim_Cenario'[Nome Cenario']]]=Tabela5[[#Headers],[Revisado]],Tabela5[[#This Row],['[Valores_cenario']]],0)</f>
        <v>0</v>
      </c>
      <c r="P819" s="6">
        <f>IF(Tabela5[[#This Row],[Dim_Cenario'[Nome Cenario']]]=Tabela5[[#Headers],[Realizado]],Tabela5[[#This Row],['[Valores_cenario']]],0)</f>
        <v>153433</v>
      </c>
    </row>
    <row r="820" hidden="1" spans="1:16">
      <c r="A820" t="s">
        <v>97</v>
      </c>
      <c r="B820" t="s">
        <v>18</v>
      </c>
      <c r="C820" t="s">
        <v>98</v>
      </c>
      <c r="D820" t="s">
        <v>15</v>
      </c>
      <c r="E820">
        <v>2024</v>
      </c>
      <c r="F820" t="s">
        <v>25</v>
      </c>
      <c r="G820" t="s">
        <v>38</v>
      </c>
      <c r="H820">
        <v>3</v>
      </c>
      <c r="I820">
        <v>-93.41</v>
      </c>
      <c r="J820" t="s">
        <v>23</v>
      </c>
      <c r="K820" s="3">
        <v>45356</v>
      </c>
      <c r="L820" t="s">
        <v>50</v>
      </c>
      <c r="M820" t="s">
        <v>531</v>
      </c>
      <c r="N820" s="6">
        <f>IF(Tabela5[[#This Row],[Dim_Cenario'[Nome Cenario']]]=Tabela5[[#Headers],[INIC Atual]],Tabela5[[#This Row],['[Valores_cenario']]],0)</f>
        <v>0</v>
      </c>
      <c r="O820" s="6">
        <f>IF(Tabela5[[#This Row],[Dim_Cenario'[Nome Cenario']]]=Tabela5[[#Headers],[Revisado]],Tabela5[[#This Row],['[Valores_cenario']]],0)</f>
        <v>0</v>
      </c>
      <c r="P820" s="6">
        <f>IF(Tabela5[[#This Row],[Dim_Cenario'[Nome Cenario']]]=Tabela5[[#Headers],[Realizado]],Tabela5[[#This Row],['[Valores_cenario']]],0)</f>
        <v>-93.41</v>
      </c>
    </row>
    <row r="821" hidden="1" spans="1:16">
      <c r="A821" t="s">
        <v>97</v>
      </c>
      <c r="B821" t="s">
        <v>18</v>
      </c>
      <c r="C821" t="s">
        <v>98</v>
      </c>
      <c r="D821" t="s">
        <v>15</v>
      </c>
      <c r="E821">
        <v>2024</v>
      </c>
      <c r="F821" t="s">
        <v>25</v>
      </c>
      <c r="G821" t="s">
        <v>38</v>
      </c>
      <c r="H821">
        <v>3</v>
      </c>
      <c r="I821">
        <v>-93.41</v>
      </c>
      <c r="J821" t="s">
        <v>23</v>
      </c>
      <c r="K821" s="3">
        <v>45356</v>
      </c>
      <c r="L821" t="s">
        <v>50</v>
      </c>
      <c r="M821" t="s">
        <v>511</v>
      </c>
      <c r="N821" s="6">
        <f>IF(Tabela5[[#This Row],[Dim_Cenario'[Nome Cenario']]]=Tabela5[[#Headers],[INIC Atual]],Tabela5[[#This Row],['[Valores_cenario']]],0)</f>
        <v>0</v>
      </c>
      <c r="O821" s="6">
        <f>IF(Tabela5[[#This Row],[Dim_Cenario'[Nome Cenario']]]=Tabela5[[#Headers],[Revisado]],Tabela5[[#This Row],['[Valores_cenario']]],0)</f>
        <v>0</v>
      </c>
      <c r="P821" s="6">
        <f>IF(Tabela5[[#This Row],[Dim_Cenario'[Nome Cenario']]]=Tabela5[[#Headers],[Realizado]],Tabela5[[#This Row],['[Valores_cenario']]],0)</f>
        <v>-93.41</v>
      </c>
    </row>
    <row r="822" spans="1:16">
      <c r="A822" t="s">
        <v>17</v>
      </c>
      <c r="B822" t="s">
        <v>18</v>
      </c>
      <c r="C822" t="s">
        <v>37</v>
      </c>
      <c r="D822" t="s">
        <v>15</v>
      </c>
      <c r="E822">
        <v>2022</v>
      </c>
      <c r="F822" t="s">
        <v>27</v>
      </c>
      <c r="G822" t="s">
        <v>28</v>
      </c>
      <c r="H822">
        <v>4</v>
      </c>
      <c r="I822">
        <v>280</v>
      </c>
      <c r="J822" t="s">
        <v>23</v>
      </c>
      <c r="K822" s="3">
        <v>44676</v>
      </c>
      <c r="L822" t="s">
        <v>534</v>
      </c>
      <c r="M822" t="s">
        <v>535</v>
      </c>
      <c r="N822" s="6">
        <f>IF(Tabela5[[#This Row],[Dim_Cenario'[Nome Cenario']]]=Tabela5[[#Headers],[INIC Atual]],Tabela5[[#This Row],['[Valores_cenario']]],0)</f>
        <v>0</v>
      </c>
      <c r="O822" s="6">
        <f>IF(Tabela5[[#This Row],[Dim_Cenario'[Nome Cenario']]]=Tabela5[[#Headers],[Revisado]],Tabela5[[#This Row],['[Valores_cenario']]],0)</f>
        <v>0</v>
      </c>
      <c r="P822" s="6">
        <f>IF(Tabela5[[#This Row],[Dim_Cenario'[Nome Cenario']]]=Tabela5[[#Headers],[Realizado]],Tabela5[[#This Row],['[Valores_cenario']]],0)</f>
        <v>280</v>
      </c>
    </row>
    <row r="823" hidden="1" spans="1:16">
      <c r="A823" t="s">
        <v>17</v>
      </c>
      <c r="B823" t="s">
        <v>18</v>
      </c>
      <c r="C823" t="s">
        <v>37</v>
      </c>
      <c r="D823" t="s">
        <v>15</v>
      </c>
      <c r="E823">
        <v>2025</v>
      </c>
      <c r="F823" t="s">
        <v>30</v>
      </c>
      <c r="G823" t="s">
        <v>41</v>
      </c>
      <c r="H823">
        <v>9</v>
      </c>
      <c r="I823">
        <v>-801.36</v>
      </c>
      <c r="J823" t="s">
        <v>33</v>
      </c>
      <c r="K823" s="3">
        <v>45910</v>
      </c>
      <c r="L823" t="s">
        <v>50</v>
      </c>
      <c r="M823" t="s">
        <v>536</v>
      </c>
      <c r="N823" s="6">
        <f>IF(Tabela5[[#This Row],[Dim_Cenario'[Nome Cenario']]]=Tabela5[[#Headers],[INIC Atual]],Tabela5[[#This Row],['[Valores_cenario']]],0)</f>
        <v>0</v>
      </c>
      <c r="O823" s="6">
        <f>IF(Tabela5[[#This Row],[Dim_Cenario'[Nome Cenario']]]=Tabela5[[#Headers],[Revisado]],Tabela5[[#This Row],['[Valores_cenario']]],0)</f>
        <v>0</v>
      </c>
      <c r="P823" s="6">
        <f>IF(Tabela5[[#This Row],[Dim_Cenario'[Nome Cenario']]]=Tabela5[[#Headers],[Realizado]],Tabela5[[#This Row],['[Valores_cenario']]],0)</f>
        <v>-801.36</v>
      </c>
    </row>
    <row r="824" hidden="1" spans="1:16">
      <c r="A824" t="s">
        <v>17</v>
      </c>
      <c r="B824" t="s">
        <v>18</v>
      </c>
      <c r="C824" t="s">
        <v>96</v>
      </c>
      <c r="D824" t="s">
        <v>15</v>
      </c>
      <c r="E824">
        <v>2024</v>
      </c>
      <c r="F824" t="s">
        <v>25</v>
      </c>
      <c r="G824" t="s">
        <v>38</v>
      </c>
      <c r="H824">
        <v>3</v>
      </c>
      <c r="I824">
        <v>153169.13</v>
      </c>
      <c r="J824" t="s">
        <v>23</v>
      </c>
      <c r="K824" s="3">
        <v>45366</v>
      </c>
      <c r="L824" t="s">
        <v>487</v>
      </c>
      <c r="M824" t="s">
        <v>537</v>
      </c>
      <c r="N824" s="6">
        <f>IF(Tabela5[[#This Row],[Dim_Cenario'[Nome Cenario']]]=Tabela5[[#Headers],[INIC Atual]],Tabela5[[#This Row],['[Valores_cenario']]],0)</f>
        <v>0</v>
      </c>
      <c r="O824" s="6">
        <f>IF(Tabela5[[#This Row],[Dim_Cenario'[Nome Cenario']]]=Tabela5[[#Headers],[Revisado]],Tabela5[[#This Row],['[Valores_cenario']]],0)</f>
        <v>0</v>
      </c>
      <c r="P824" s="6">
        <f>IF(Tabela5[[#This Row],[Dim_Cenario'[Nome Cenario']]]=Tabela5[[#Headers],[Realizado]],Tabela5[[#This Row],['[Valores_cenario']]],0)</f>
        <v>153169.13</v>
      </c>
    </row>
    <row r="825" hidden="1" spans="1:16">
      <c r="A825" t="s">
        <v>17</v>
      </c>
      <c r="B825" t="s">
        <v>18</v>
      </c>
      <c r="C825" t="s">
        <v>19</v>
      </c>
      <c r="D825" t="s">
        <v>15</v>
      </c>
      <c r="E825">
        <v>2024</v>
      </c>
      <c r="F825" t="s">
        <v>25</v>
      </c>
      <c r="G825" t="s">
        <v>38</v>
      </c>
      <c r="H825">
        <v>3</v>
      </c>
      <c r="I825">
        <v>10830</v>
      </c>
      <c r="J825" t="s">
        <v>23</v>
      </c>
      <c r="K825" s="3">
        <v>45379</v>
      </c>
      <c r="L825" t="s">
        <v>507</v>
      </c>
      <c r="M825" t="s">
        <v>538</v>
      </c>
      <c r="N825" s="6">
        <f>IF(Tabela5[[#This Row],[Dim_Cenario'[Nome Cenario']]]=Tabela5[[#Headers],[INIC Atual]],Tabela5[[#This Row],['[Valores_cenario']]],0)</f>
        <v>0</v>
      </c>
      <c r="O825" s="6">
        <f>IF(Tabela5[[#This Row],[Dim_Cenario'[Nome Cenario']]]=Tabela5[[#Headers],[Revisado]],Tabela5[[#This Row],['[Valores_cenario']]],0)</f>
        <v>0</v>
      </c>
      <c r="P825" s="6">
        <f>IF(Tabela5[[#This Row],[Dim_Cenario'[Nome Cenario']]]=Tabela5[[#Headers],[Realizado]],Tabela5[[#This Row],['[Valores_cenario']]],0)</f>
        <v>10830</v>
      </c>
    </row>
    <row r="826" hidden="1" spans="1:16">
      <c r="A826" t="s">
        <v>97</v>
      </c>
      <c r="B826" t="s">
        <v>18</v>
      </c>
      <c r="C826" t="s">
        <v>98</v>
      </c>
      <c r="D826" t="s">
        <v>15</v>
      </c>
      <c r="E826">
        <v>2024</v>
      </c>
      <c r="F826" t="s">
        <v>25</v>
      </c>
      <c r="G826" t="s">
        <v>38</v>
      </c>
      <c r="H826">
        <v>3</v>
      </c>
      <c r="I826">
        <v>93.41</v>
      </c>
      <c r="J826" t="s">
        <v>23</v>
      </c>
      <c r="K826" s="3">
        <v>45382</v>
      </c>
      <c r="L826" t="s">
        <v>50</v>
      </c>
      <c r="M826" t="s">
        <v>539</v>
      </c>
      <c r="N826" s="6">
        <f>IF(Tabela5[[#This Row],[Dim_Cenario'[Nome Cenario']]]=Tabela5[[#Headers],[INIC Atual]],Tabela5[[#This Row],['[Valores_cenario']]],0)</f>
        <v>0</v>
      </c>
      <c r="O826" s="6">
        <f>IF(Tabela5[[#This Row],[Dim_Cenario'[Nome Cenario']]]=Tabela5[[#Headers],[Revisado]],Tabela5[[#This Row],['[Valores_cenario']]],0)</f>
        <v>0</v>
      </c>
      <c r="P826" s="6">
        <f>IF(Tabela5[[#This Row],[Dim_Cenario'[Nome Cenario']]]=Tabela5[[#Headers],[Realizado]],Tabela5[[#This Row],['[Valores_cenario']]],0)</f>
        <v>93.41</v>
      </c>
    </row>
    <row r="827" hidden="1" spans="1:16">
      <c r="A827" t="s">
        <v>97</v>
      </c>
      <c r="B827" t="s">
        <v>18</v>
      </c>
      <c r="C827" t="s">
        <v>98</v>
      </c>
      <c r="D827" t="s">
        <v>15</v>
      </c>
      <c r="E827">
        <v>2024</v>
      </c>
      <c r="F827" t="s">
        <v>25</v>
      </c>
      <c r="G827" t="s">
        <v>38</v>
      </c>
      <c r="H827">
        <v>3</v>
      </c>
      <c r="I827">
        <v>93.41</v>
      </c>
      <c r="J827" t="s">
        <v>23</v>
      </c>
      <c r="K827" s="3">
        <v>45382</v>
      </c>
      <c r="L827" t="s">
        <v>50</v>
      </c>
      <c r="M827" t="s">
        <v>511</v>
      </c>
      <c r="N827" s="6">
        <f>IF(Tabela5[[#This Row],[Dim_Cenario'[Nome Cenario']]]=Tabela5[[#Headers],[INIC Atual]],Tabela5[[#This Row],['[Valores_cenario']]],0)</f>
        <v>0</v>
      </c>
      <c r="O827" s="6">
        <f>IF(Tabela5[[#This Row],[Dim_Cenario'[Nome Cenario']]]=Tabela5[[#Headers],[Revisado]],Tabela5[[#This Row],['[Valores_cenario']]],0)</f>
        <v>0</v>
      </c>
      <c r="P827" s="6">
        <f>IF(Tabela5[[#This Row],[Dim_Cenario'[Nome Cenario']]]=Tabela5[[#Headers],[Realizado]],Tabela5[[#This Row],['[Valores_cenario']]],0)</f>
        <v>93.41</v>
      </c>
    </row>
    <row r="828" hidden="1" spans="1:16">
      <c r="A828" t="s">
        <v>17</v>
      </c>
      <c r="B828" t="s">
        <v>18</v>
      </c>
      <c r="C828" t="s">
        <v>37</v>
      </c>
      <c r="D828" t="s">
        <v>15</v>
      </c>
      <c r="E828">
        <v>2025</v>
      </c>
      <c r="F828" t="s">
        <v>30</v>
      </c>
      <c r="G828" t="s">
        <v>41</v>
      </c>
      <c r="H828">
        <v>9</v>
      </c>
      <c r="I828">
        <v>68988.78</v>
      </c>
      <c r="J828" t="s">
        <v>33</v>
      </c>
      <c r="K828" s="3">
        <v>45910</v>
      </c>
      <c r="L828" t="s">
        <v>540</v>
      </c>
      <c r="M828" t="s">
        <v>536</v>
      </c>
      <c r="N828" s="6">
        <f>IF(Tabela5[[#This Row],[Dim_Cenario'[Nome Cenario']]]=Tabela5[[#Headers],[INIC Atual]],Tabela5[[#This Row],['[Valores_cenario']]],0)</f>
        <v>0</v>
      </c>
      <c r="O828" s="6">
        <f>IF(Tabela5[[#This Row],[Dim_Cenario'[Nome Cenario']]]=Tabela5[[#Headers],[Revisado]],Tabela5[[#This Row],['[Valores_cenario']]],0)</f>
        <v>0</v>
      </c>
      <c r="P828" s="6">
        <f>IF(Tabela5[[#This Row],[Dim_Cenario'[Nome Cenario']]]=Tabela5[[#Headers],[Realizado]],Tabela5[[#This Row],['[Valores_cenario']]],0)</f>
        <v>68988.78</v>
      </c>
    </row>
    <row r="829" spans="1:16">
      <c r="A829" t="s">
        <v>17</v>
      </c>
      <c r="B829" t="s">
        <v>18</v>
      </c>
      <c r="C829" t="s">
        <v>37</v>
      </c>
      <c r="D829" t="s">
        <v>15</v>
      </c>
      <c r="E829">
        <v>2024</v>
      </c>
      <c r="F829" t="s">
        <v>27</v>
      </c>
      <c r="G829" t="s">
        <v>39</v>
      </c>
      <c r="H829">
        <v>5</v>
      </c>
      <c r="I829">
        <v>280</v>
      </c>
      <c r="J829" t="s">
        <v>23</v>
      </c>
      <c r="K829" s="3">
        <v>45433</v>
      </c>
      <c r="L829" t="s">
        <v>541</v>
      </c>
      <c r="M829" t="s">
        <v>542</v>
      </c>
      <c r="N829" s="6">
        <f>IF(Tabela5[[#This Row],[Dim_Cenario'[Nome Cenario']]]=Tabela5[[#Headers],[INIC Atual]],Tabela5[[#This Row],['[Valores_cenario']]],0)</f>
        <v>0</v>
      </c>
      <c r="O829" s="6">
        <f>IF(Tabela5[[#This Row],[Dim_Cenario'[Nome Cenario']]]=Tabela5[[#Headers],[Revisado]],Tabela5[[#This Row],['[Valores_cenario']]],0)</f>
        <v>0</v>
      </c>
      <c r="P829" s="6">
        <f>IF(Tabela5[[#This Row],[Dim_Cenario'[Nome Cenario']]]=Tabela5[[#Headers],[Realizado]],Tabela5[[#This Row],['[Valores_cenario']]],0)</f>
        <v>280</v>
      </c>
    </row>
    <row r="830" spans="1:16">
      <c r="A830" t="s">
        <v>17</v>
      </c>
      <c r="B830" t="s">
        <v>92</v>
      </c>
      <c r="C830" t="s">
        <v>37</v>
      </c>
      <c r="D830" t="s">
        <v>15</v>
      </c>
      <c r="E830">
        <v>2024</v>
      </c>
      <c r="F830" t="s">
        <v>21</v>
      </c>
      <c r="G830" t="s">
        <v>22</v>
      </c>
      <c r="H830">
        <v>10</v>
      </c>
      <c r="I830">
        <v>270.95</v>
      </c>
      <c r="J830" t="s">
        <v>23</v>
      </c>
      <c r="K830" s="3">
        <v>45596</v>
      </c>
      <c r="M830" t="s">
        <v>543</v>
      </c>
      <c r="N830" s="6">
        <f>IF(Tabela5[[#This Row],[Dim_Cenario'[Nome Cenario']]]=Tabela5[[#Headers],[INIC Atual]],Tabela5[[#This Row],['[Valores_cenario']]],0)</f>
        <v>0</v>
      </c>
      <c r="O830" s="6">
        <f>IF(Tabela5[[#This Row],[Dim_Cenario'[Nome Cenario']]]=Tabela5[[#Headers],[Revisado]],Tabela5[[#This Row],['[Valores_cenario']]],0)</f>
        <v>0</v>
      </c>
      <c r="P830" s="6">
        <f>IF(Tabela5[[#This Row],[Dim_Cenario'[Nome Cenario']]]=Tabela5[[#Headers],[Realizado]],Tabela5[[#This Row],['[Valores_cenario']]],0)</f>
        <v>270.95</v>
      </c>
    </row>
    <row r="831" spans="1:16">
      <c r="A831" t="s">
        <v>17</v>
      </c>
      <c r="B831" t="s">
        <v>18</v>
      </c>
      <c r="C831" t="s">
        <v>37</v>
      </c>
      <c r="D831" t="s">
        <v>15</v>
      </c>
      <c r="E831">
        <v>2025</v>
      </c>
      <c r="F831" t="s">
        <v>27</v>
      </c>
      <c r="G831" t="s">
        <v>28</v>
      </c>
      <c r="H831">
        <v>4</v>
      </c>
      <c r="I831">
        <v>260</v>
      </c>
      <c r="J831" t="s">
        <v>33</v>
      </c>
      <c r="K831" s="3">
        <v>45761</v>
      </c>
      <c r="L831" t="s">
        <v>544</v>
      </c>
      <c r="M831" t="s">
        <v>545</v>
      </c>
      <c r="N831" s="6">
        <f>IF(Tabela5[[#This Row],[Dim_Cenario'[Nome Cenario']]]=Tabela5[[#Headers],[INIC Atual]],Tabela5[[#This Row],['[Valores_cenario']]],0)</f>
        <v>0</v>
      </c>
      <c r="O831" s="6">
        <f>IF(Tabela5[[#This Row],[Dim_Cenario'[Nome Cenario']]]=Tabela5[[#Headers],[Revisado]],Tabela5[[#This Row],['[Valores_cenario']]],0)</f>
        <v>0</v>
      </c>
      <c r="P831" s="6">
        <f>IF(Tabela5[[#This Row],[Dim_Cenario'[Nome Cenario']]]=Tabela5[[#Headers],[Realizado]],Tabela5[[#This Row],['[Valores_cenario']]],0)</f>
        <v>260</v>
      </c>
    </row>
    <row r="832" hidden="1" spans="1:16">
      <c r="A832" t="s">
        <v>17</v>
      </c>
      <c r="B832" t="s">
        <v>18</v>
      </c>
      <c r="C832" t="s">
        <v>37</v>
      </c>
      <c r="D832" t="s">
        <v>15</v>
      </c>
      <c r="E832">
        <v>2025</v>
      </c>
      <c r="F832" t="s">
        <v>21</v>
      </c>
      <c r="G832" t="s">
        <v>24</v>
      </c>
      <c r="H832">
        <v>11</v>
      </c>
      <c r="I832">
        <v>58757</v>
      </c>
      <c r="J832" t="s">
        <v>33</v>
      </c>
      <c r="K832" s="3">
        <v>45974</v>
      </c>
      <c r="L832" t="s">
        <v>546</v>
      </c>
      <c r="M832" t="s">
        <v>547</v>
      </c>
      <c r="N832" s="6">
        <f>IF(Tabela5[[#This Row],[Dim_Cenario'[Nome Cenario']]]=Tabela5[[#Headers],[INIC Atual]],Tabela5[[#This Row],['[Valores_cenario']]],0)</f>
        <v>0</v>
      </c>
      <c r="O832" s="6">
        <f>IF(Tabela5[[#This Row],[Dim_Cenario'[Nome Cenario']]]=Tabela5[[#Headers],[Revisado]],Tabela5[[#This Row],['[Valores_cenario']]],0)</f>
        <v>0</v>
      </c>
      <c r="P832" s="6">
        <f>IF(Tabela5[[#This Row],[Dim_Cenario'[Nome Cenario']]]=Tabela5[[#Headers],[Realizado]],Tabela5[[#This Row],['[Valores_cenario']]],0)</f>
        <v>58757</v>
      </c>
    </row>
    <row r="833" spans="1:16">
      <c r="A833" t="s">
        <v>17</v>
      </c>
      <c r="B833" t="s">
        <v>92</v>
      </c>
      <c r="C833" t="s">
        <v>37</v>
      </c>
      <c r="D833" t="s">
        <v>15</v>
      </c>
      <c r="E833">
        <v>2022</v>
      </c>
      <c r="F833" t="s">
        <v>21</v>
      </c>
      <c r="G833" t="s">
        <v>22</v>
      </c>
      <c r="H833">
        <v>10</v>
      </c>
      <c r="I833">
        <v>252.29</v>
      </c>
      <c r="J833" t="s">
        <v>23</v>
      </c>
      <c r="K833" s="3">
        <v>44865</v>
      </c>
      <c r="M833" t="s">
        <v>548</v>
      </c>
      <c r="N833" s="6">
        <f>IF(Tabela5[[#This Row],[Dim_Cenario'[Nome Cenario']]]=Tabela5[[#Headers],[INIC Atual]],Tabela5[[#This Row],['[Valores_cenario']]],0)</f>
        <v>0</v>
      </c>
      <c r="O833" s="6">
        <f>IF(Tabela5[[#This Row],[Dim_Cenario'[Nome Cenario']]]=Tabela5[[#Headers],[Revisado]],Tabela5[[#This Row],['[Valores_cenario']]],0)</f>
        <v>0</v>
      </c>
      <c r="P833" s="6">
        <f>IF(Tabela5[[#This Row],[Dim_Cenario'[Nome Cenario']]]=Tabela5[[#Headers],[Realizado]],Tabela5[[#This Row],['[Valores_cenario']]],0)</f>
        <v>252.29</v>
      </c>
    </row>
    <row r="834" hidden="1" spans="1:16">
      <c r="A834" t="s">
        <v>97</v>
      </c>
      <c r="B834" t="s">
        <v>18</v>
      </c>
      <c r="C834" t="s">
        <v>98</v>
      </c>
      <c r="D834" t="s">
        <v>15</v>
      </c>
      <c r="E834">
        <v>2024</v>
      </c>
      <c r="F834" t="s">
        <v>27</v>
      </c>
      <c r="G834" t="s">
        <v>28</v>
      </c>
      <c r="H834">
        <v>4</v>
      </c>
      <c r="I834">
        <v>-93.41</v>
      </c>
      <c r="J834" t="s">
        <v>23</v>
      </c>
      <c r="K834" s="3">
        <v>45385</v>
      </c>
      <c r="L834" t="s">
        <v>50</v>
      </c>
      <c r="M834" t="s">
        <v>539</v>
      </c>
      <c r="N834" s="6">
        <f>IF(Tabela5[[#This Row],[Dim_Cenario'[Nome Cenario']]]=Tabela5[[#Headers],[INIC Atual]],Tabela5[[#This Row],['[Valores_cenario']]],0)</f>
        <v>0</v>
      </c>
      <c r="O834" s="6">
        <f>IF(Tabela5[[#This Row],[Dim_Cenario'[Nome Cenario']]]=Tabela5[[#Headers],[Revisado]],Tabela5[[#This Row],['[Valores_cenario']]],0)</f>
        <v>0</v>
      </c>
      <c r="P834" s="6">
        <f>IF(Tabela5[[#This Row],[Dim_Cenario'[Nome Cenario']]]=Tabela5[[#Headers],[Realizado]],Tabela5[[#This Row],['[Valores_cenario']]],0)</f>
        <v>-93.41</v>
      </c>
    </row>
    <row r="835" hidden="1" spans="1:16">
      <c r="A835" t="s">
        <v>97</v>
      </c>
      <c r="B835" t="s">
        <v>18</v>
      </c>
      <c r="C835" t="s">
        <v>98</v>
      </c>
      <c r="D835" t="s">
        <v>15</v>
      </c>
      <c r="E835">
        <v>2024</v>
      </c>
      <c r="F835" t="s">
        <v>27</v>
      </c>
      <c r="G835" t="s">
        <v>28</v>
      </c>
      <c r="H835">
        <v>4</v>
      </c>
      <c r="I835">
        <v>-93.41</v>
      </c>
      <c r="J835" t="s">
        <v>23</v>
      </c>
      <c r="K835" s="3">
        <v>45385</v>
      </c>
      <c r="L835" t="s">
        <v>50</v>
      </c>
      <c r="M835" t="s">
        <v>511</v>
      </c>
      <c r="N835" s="6">
        <f>IF(Tabela5[[#This Row],[Dim_Cenario'[Nome Cenario']]]=Tabela5[[#Headers],[INIC Atual]],Tabela5[[#This Row],['[Valores_cenario']]],0)</f>
        <v>0</v>
      </c>
      <c r="O835" s="6">
        <f>IF(Tabela5[[#This Row],[Dim_Cenario'[Nome Cenario']]]=Tabela5[[#Headers],[Revisado]],Tabela5[[#This Row],['[Valores_cenario']]],0)</f>
        <v>0</v>
      </c>
      <c r="P835" s="6">
        <f>IF(Tabela5[[#This Row],[Dim_Cenario'[Nome Cenario']]]=Tabela5[[#Headers],[Realizado]],Tabela5[[#This Row],['[Valores_cenario']]],0)</f>
        <v>-93.41</v>
      </c>
    </row>
    <row r="836" hidden="1" spans="1:16">
      <c r="A836" t="s">
        <v>97</v>
      </c>
      <c r="B836" t="s">
        <v>18</v>
      </c>
      <c r="C836" t="s">
        <v>98</v>
      </c>
      <c r="D836" t="s">
        <v>15</v>
      </c>
      <c r="E836">
        <v>2024</v>
      </c>
      <c r="F836" t="s">
        <v>27</v>
      </c>
      <c r="G836" t="s">
        <v>28</v>
      </c>
      <c r="H836">
        <v>4</v>
      </c>
      <c r="I836">
        <v>42306</v>
      </c>
      <c r="J836" t="s">
        <v>23</v>
      </c>
      <c r="K836" s="3">
        <v>45390</v>
      </c>
      <c r="L836" t="s">
        <v>512</v>
      </c>
      <c r="M836" t="s">
        <v>549</v>
      </c>
      <c r="N836" s="6">
        <f>IF(Tabela5[[#This Row],[Dim_Cenario'[Nome Cenario']]]=Tabela5[[#Headers],[INIC Atual]],Tabela5[[#This Row],['[Valores_cenario']]],0)</f>
        <v>0</v>
      </c>
      <c r="O836" s="6">
        <f>IF(Tabela5[[#This Row],[Dim_Cenario'[Nome Cenario']]]=Tabela5[[#Headers],[Revisado]],Tabela5[[#This Row],['[Valores_cenario']]],0)</f>
        <v>0</v>
      </c>
      <c r="P836" s="6">
        <f>IF(Tabela5[[#This Row],[Dim_Cenario'[Nome Cenario']]]=Tabela5[[#Headers],[Realizado]],Tabela5[[#This Row],['[Valores_cenario']]],0)</f>
        <v>42306</v>
      </c>
    </row>
    <row r="837" hidden="1" spans="1:16">
      <c r="A837" t="s">
        <v>97</v>
      </c>
      <c r="B837" t="s">
        <v>18</v>
      </c>
      <c r="C837" t="s">
        <v>98</v>
      </c>
      <c r="D837" t="s">
        <v>15</v>
      </c>
      <c r="E837">
        <v>2024</v>
      </c>
      <c r="F837" t="s">
        <v>27</v>
      </c>
      <c r="G837" t="s">
        <v>28</v>
      </c>
      <c r="H837">
        <v>4</v>
      </c>
      <c r="I837">
        <v>93.41</v>
      </c>
      <c r="J837" t="s">
        <v>23</v>
      </c>
      <c r="K837" s="3">
        <v>45412</v>
      </c>
      <c r="L837" t="s">
        <v>50</v>
      </c>
      <c r="M837" t="s">
        <v>550</v>
      </c>
      <c r="N837" s="6">
        <f>IF(Tabela5[[#This Row],[Dim_Cenario'[Nome Cenario']]]=Tabela5[[#Headers],[INIC Atual]],Tabela5[[#This Row],['[Valores_cenario']]],0)</f>
        <v>0</v>
      </c>
      <c r="O837" s="6">
        <f>IF(Tabela5[[#This Row],[Dim_Cenario'[Nome Cenario']]]=Tabela5[[#Headers],[Revisado]],Tabela5[[#This Row],['[Valores_cenario']]],0)</f>
        <v>0</v>
      </c>
      <c r="P837" s="6">
        <f>IF(Tabela5[[#This Row],[Dim_Cenario'[Nome Cenario']]]=Tabela5[[#Headers],[Realizado]],Tabela5[[#This Row],['[Valores_cenario']]],0)</f>
        <v>93.41</v>
      </c>
    </row>
    <row r="838" hidden="1" spans="1:16">
      <c r="A838" t="s">
        <v>97</v>
      </c>
      <c r="B838" t="s">
        <v>18</v>
      </c>
      <c r="C838" t="s">
        <v>98</v>
      </c>
      <c r="D838" t="s">
        <v>15</v>
      </c>
      <c r="E838">
        <v>2024</v>
      </c>
      <c r="F838" t="s">
        <v>27</v>
      </c>
      <c r="G838" t="s">
        <v>28</v>
      </c>
      <c r="H838">
        <v>4</v>
      </c>
      <c r="I838">
        <v>93.41</v>
      </c>
      <c r="J838" t="s">
        <v>23</v>
      </c>
      <c r="K838" s="3">
        <v>45412</v>
      </c>
      <c r="L838" t="s">
        <v>50</v>
      </c>
      <c r="M838" t="s">
        <v>511</v>
      </c>
      <c r="N838" s="6">
        <f>IF(Tabela5[[#This Row],[Dim_Cenario'[Nome Cenario']]]=Tabela5[[#Headers],[INIC Atual]],Tabela5[[#This Row],['[Valores_cenario']]],0)</f>
        <v>0</v>
      </c>
      <c r="O838" s="6">
        <f>IF(Tabela5[[#This Row],[Dim_Cenario'[Nome Cenario']]]=Tabela5[[#Headers],[Revisado]],Tabela5[[#This Row],['[Valores_cenario']]],0)</f>
        <v>0</v>
      </c>
      <c r="P838" s="6">
        <f>IF(Tabela5[[#This Row],[Dim_Cenario'[Nome Cenario']]]=Tabela5[[#Headers],[Realizado]],Tabela5[[#This Row],['[Valores_cenario']]],0)</f>
        <v>93.41</v>
      </c>
    </row>
    <row r="839" hidden="1" spans="1:16">
      <c r="A839" t="s">
        <v>97</v>
      </c>
      <c r="B839" t="s">
        <v>18</v>
      </c>
      <c r="C839" t="s">
        <v>99</v>
      </c>
      <c r="D839" t="s">
        <v>15</v>
      </c>
      <c r="E839">
        <v>2024</v>
      </c>
      <c r="F839" t="s">
        <v>27</v>
      </c>
      <c r="G839" t="s">
        <v>28</v>
      </c>
      <c r="H839">
        <v>4</v>
      </c>
      <c r="I839">
        <v>78240</v>
      </c>
      <c r="J839" t="s">
        <v>23</v>
      </c>
      <c r="K839" s="3">
        <v>45412</v>
      </c>
      <c r="L839" t="s">
        <v>50</v>
      </c>
      <c r="M839" t="s">
        <v>551</v>
      </c>
      <c r="N839" s="6">
        <f>IF(Tabela5[[#This Row],[Dim_Cenario'[Nome Cenario']]]=Tabela5[[#Headers],[INIC Atual]],Tabela5[[#This Row],['[Valores_cenario']]],0)</f>
        <v>0</v>
      </c>
      <c r="O839" s="6">
        <f>IF(Tabela5[[#This Row],[Dim_Cenario'[Nome Cenario']]]=Tabela5[[#Headers],[Revisado]],Tabela5[[#This Row],['[Valores_cenario']]],0)</f>
        <v>0</v>
      </c>
      <c r="P839" s="6">
        <f>IF(Tabela5[[#This Row],[Dim_Cenario'[Nome Cenario']]]=Tabela5[[#Headers],[Realizado]],Tabela5[[#This Row],['[Valores_cenario']]],0)</f>
        <v>78240</v>
      </c>
    </row>
    <row r="840" spans="1:16">
      <c r="A840" t="s">
        <v>17</v>
      </c>
      <c r="B840" t="s">
        <v>92</v>
      </c>
      <c r="C840" t="s">
        <v>37</v>
      </c>
      <c r="D840" t="s">
        <v>15</v>
      </c>
      <c r="E840">
        <v>2023</v>
      </c>
      <c r="F840" t="s">
        <v>21</v>
      </c>
      <c r="G840" t="s">
        <v>22</v>
      </c>
      <c r="H840">
        <v>10</v>
      </c>
      <c r="I840">
        <v>250.61</v>
      </c>
      <c r="J840" t="s">
        <v>23</v>
      </c>
      <c r="K840" s="3">
        <v>45230</v>
      </c>
      <c r="M840" t="s">
        <v>552</v>
      </c>
      <c r="N840" s="6">
        <f>IF(Tabela5[[#This Row],[Dim_Cenario'[Nome Cenario']]]=Tabela5[[#Headers],[INIC Atual]],Tabela5[[#This Row],['[Valores_cenario']]],0)</f>
        <v>0</v>
      </c>
      <c r="O840" s="6">
        <f>IF(Tabela5[[#This Row],[Dim_Cenario'[Nome Cenario']]]=Tabela5[[#Headers],[Revisado]],Tabela5[[#This Row],['[Valores_cenario']]],0)</f>
        <v>0</v>
      </c>
      <c r="P840" s="6">
        <f>IF(Tabela5[[#This Row],[Dim_Cenario'[Nome Cenario']]]=Tabela5[[#Headers],[Realizado]],Tabela5[[#This Row],['[Valores_cenario']]],0)</f>
        <v>250.61</v>
      </c>
    </row>
    <row r="841" hidden="1" spans="1:16">
      <c r="A841" t="s">
        <v>97</v>
      </c>
      <c r="B841" t="s">
        <v>18</v>
      </c>
      <c r="C841" t="s">
        <v>99</v>
      </c>
      <c r="D841" t="s">
        <v>15</v>
      </c>
      <c r="E841">
        <v>2024</v>
      </c>
      <c r="F841" t="s">
        <v>27</v>
      </c>
      <c r="G841" t="s">
        <v>39</v>
      </c>
      <c r="H841">
        <v>5</v>
      </c>
      <c r="I841">
        <v>78240</v>
      </c>
      <c r="J841" t="s">
        <v>23</v>
      </c>
      <c r="K841" s="3">
        <v>45414</v>
      </c>
      <c r="L841" t="s">
        <v>505</v>
      </c>
      <c r="M841" t="s">
        <v>553</v>
      </c>
      <c r="N841" s="6">
        <f>IF(Tabela5[[#This Row],[Dim_Cenario'[Nome Cenario']]]=Tabela5[[#Headers],[INIC Atual]],Tabela5[[#This Row],['[Valores_cenario']]],0)</f>
        <v>0</v>
      </c>
      <c r="O841" s="6">
        <f>IF(Tabela5[[#This Row],[Dim_Cenario'[Nome Cenario']]]=Tabela5[[#Headers],[Revisado]],Tabela5[[#This Row],['[Valores_cenario']]],0)</f>
        <v>0</v>
      </c>
      <c r="P841" s="6">
        <f>IF(Tabela5[[#This Row],[Dim_Cenario'[Nome Cenario']]]=Tabela5[[#Headers],[Realizado]],Tabela5[[#This Row],['[Valores_cenario']]],0)</f>
        <v>78240</v>
      </c>
    </row>
    <row r="842" spans="1:16">
      <c r="A842" t="s">
        <v>17</v>
      </c>
      <c r="B842" t="s">
        <v>18</v>
      </c>
      <c r="C842" t="s">
        <v>37</v>
      </c>
      <c r="D842" t="s">
        <v>15</v>
      </c>
      <c r="E842">
        <v>2024</v>
      </c>
      <c r="F842" t="s">
        <v>25</v>
      </c>
      <c r="G842" t="s">
        <v>26</v>
      </c>
      <c r="H842">
        <v>2</v>
      </c>
      <c r="I842">
        <v>240</v>
      </c>
      <c r="J842" t="s">
        <v>23</v>
      </c>
      <c r="K842" s="3">
        <v>45323</v>
      </c>
      <c r="L842" t="s">
        <v>554</v>
      </c>
      <c r="M842" t="s">
        <v>555</v>
      </c>
      <c r="N842" s="6">
        <f>IF(Tabela5[[#This Row],[Dim_Cenario'[Nome Cenario']]]=Tabela5[[#Headers],[INIC Atual]],Tabela5[[#This Row],['[Valores_cenario']]],0)</f>
        <v>0</v>
      </c>
      <c r="O842" s="6">
        <f>IF(Tabela5[[#This Row],[Dim_Cenario'[Nome Cenario']]]=Tabela5[[#Headers],[Revisado]],Tabela5[[#This Row],['[Valores_cenario']]],0)</f>
        <v>0</v>
      </c>
      <c r="P842" s="6">
        <f>IF(Tabela5[[#This Row],[Dim_Cenario'[Nome Cenario']]]=Tabela5[[#Headers],[Realizado]],Tabela5[[#This Row],['[Valores_cenario']]],0)</f>
        <v>240</v>
      </c>
    </row>
    <row r="843" hidden="1" spans="1:16">
      <c r="A843" t="s">
        <v>97</v>
      </c>
      <c r="B843" t="s">
        <v>18</v>
      </c>
      <c r="C843" t="s">
        <v>98</v>
      </c>
      <c r="D843" t="s">
        <v>15</v>
      </c>
      <c r="E843">
        <v>2024</v>
      </c>
      <c r="F843" t="s">
        <v>27</v>
      </c>
      <c r="G843" t="s">
        <v>39</v>
      </c>
      <c r="H843">
        <v>5</v>
      </c>
      <c r="I843">
        <v>-93.41</v>
      </c>
      <c r="J843" t="s">
        <v>23</v>
      </c>
      <c r="K843" s="3">
        <v>45421</v>
      </c>
      <c r="L843" t="s">
        <v>50</v>
      </c>
      <c r="M843" t="s">
        <v>550</v>
      </c>
      <c r="N843" s="6">
        <f>IF(Tabela5[[#This Row],[Dim_Cenario'[Nome Cenario']]]=Tabela5[[#Headers],[INIC Atual]],Tabela5[[#This Row],['[Valores_cenario']]],0)</f>
        <v>0</v>
      </c>
      <c r="O843" s="6">
        <f>IF(Tabela5[[#This Row],[Dim_Cenario'[Nome Cenario']]]=Tabela5[[#Headers],[Revisado]],Tabela5[[#This Row],['[Valores_cenario']]],0)</f>
        <v>0</v>
      </c>
      <c r="P843" s="6">
        <f>IF(Tabela5[[#This Row],[Dim_Cenario'[Nome Cenario']]]=Tabela5[[#Headers],[Realizado]],Tabela5[[#This Row],['[Valores_cenario']]],0)</f>
        <v>-93.41</v>
      </c>
    </row>
    <row r="844" hidden="1" spans="1:16">
      <c r="A844" t="s">
        <v>97</v>
      </c>
      <c r="B844" t="s">
        <v>18</v>
      </c>
      <c r="C844" t="s">
        <v>98</v>
      </c>
      <c r="D844" t="s">
        <v>15</v>
      </c>
      <c r="E844">
        <v>2024</v>
      </c>
      <c r="F844" t="s">
        <v>27</v>
      </c>
      <c r="G844" t="s">
        <v>39</v>
      </c>
      <c r="H844">
        <v>5</v>
      </c>
      <c r="I844">
        <v>-93.41</v>
      </c>
      <c r="J844" t="s">
        <v>23</v>
      </c>
      <c r="K844" s="3">
        <v>45421</v>
      </c>
      <c r="L844" t="s">
        <v>50</v>
      </c>
      <c r="M844" t="s">
        <v>511</v>
      </c>
      <c r="N844" s="6">
        <f>IF(Tabela5[[#This Row],[Dim_Cenario'[Nome Cenario']]]=Tabela5[[#Headers],[INIC Atual]],Tabela5[[#This Row],['[Valores_cenario']]],0)</f>
        <v>0</v>
      </c>
      <c r="O844" s="6">
        <f>IF(Tabela5[[#This Row],[Dim_Cenario'[Nome Cenario']]]=Tabela5[[#Headers],[Revisado]],Tabela5[[#This Row],['[Valores_cenario']]],0)</f>
        <v>0</v>
      </c>
      <c r="P844" s="6">
        <f>IF(Tabela5[[#This Row],[Dim_Cenario'[Nome Cenario']]]=Tabela5[[#Headers],[Realizado]],Tabela5[[#This Row],['[Valores_cenario']]],0)</f>
        <v>-93.41</v>
      </c>
    </row>
    <row r="845" hidden="1" spans="1:16">
      <c r="A845" t="s">
        <v>97</v>
      </c>
      <c r="B845" t="s">
        <v>18</v>
      </c>
      <c r="C845" t="s">
        <v>99</v>
      </c>
      <c r="D845" t="s">
        <v>15</v>
      </c>
      <c r="E845">
        <v>2024</v>
      </c>
      <c r="F845" t="s">
        <v>27</v>
      </c>
      <c r="G845" t="s">
        <v>39</v>
      </c>
      <c r="H845">
        <v>5</v>
      </c>
      <c r="I845">
        <v>-78240</v>
      </c>
      <c r="J845" t="s">
        <v>23</v>
      </c>
      <c r="K845" s="3">
        <v>45421</v>
      </c>
      <c r="L845" t="s">
        <v>50</v>
      </c>
      <c r="M845" t="s">
        <v>551</v>
      </c>
      <c r="N845" s="6">
        <f>IF(Tabela5[[#This Row],[Dim_Cenario'[Nome Cenario']]]=Tabela5[[#Headers],[INIC Atual]],Tabela5[[#This Row],['[Valores_cenario']]],0)</f>
        <v>0</v>
      </c>
      <c r="O845" s="6">
        <f>IF(Tabela5[[#This Row],[Dim_Cenario'[Nome Cenario']]]=Tabela5[[#Headers],[Revisado]],Tabela5[[#This Row],['[Valores_cenario']]],0)</f>
        <v>0</v>
      </c>
      <c r="P845" s="6">
        <f>IF(Tabela5[[#This Row],[Dim_Cenario'[Nome Cenario']]]=Tabela5[[#Headers],[Realizado]],Tabela5[[#This Row],['[Valores_cenario']]],0)</f>
        <v>-78240</v>
      </c>
    </row>
    <row r="846" hidden="1" spans="1:16">
      <c r="A846" t="s">
        <v>17</v>
      </c>
      <c r="B846" t="s">
        <v>18</v>
      </c>
      <c r="C846" t="s">
        <v>96</v>
      </c>
      <c r="D846" t="s">
        <v>15</v>
      </c>
      <c r="E846">
        <v>2024</v>
      </c>
      <c r="F846" t="s">
        <v>27</v>
      </c>
      <c r="G846" t="s">
        <v>39</v>
      </c>
      <c r="H846">
        <v>5</v>
      </c>
      <c r="I846">
        <v>134022.99</v>
      </c>
      <c r="J846" t="s">
        <v>23</v>
      </c>
      <c r="K846" s="3">
        <v>45422</v>
      </c>
      <c r="L846" t="s">
        <v>487</v>
      </c>
      <c r="M846" t="s">
        <v>556</v>
      </c>
      <c r="N846" s="6">
        <f>IF(Tabela5[[#This Row],[Dim_Cenario'[Nome Cenario']]]=Tabela5[[#Headers],[INIC Atual]],Tabela5[[#This Row],['[Valores_cenario']]],0)</f>
        <v>0</v>
      </c>
      <c r="O846" s="6">
        <f>IF(Tabela5[[#This Row],[Dim_Cenario'[Nome Cenario']]]=Tabela5[[#Headers],[Revisado]],Tabela5[[#This Row],['[Valores_cenario']]],0)</f>
        <v>0</v>
      </c>
      <c r="P846" s="6">
        <f>IF(Tabela5[[#This Row],[Dim_Cenario'[Nome Cenario']]]=Tabela5[[#Headers],[Realizado]],Tabela5[[#This Row],['[Valores_cenario']]],0)</f>
        <v>134022.99</v>
      </c>
    </row>
    <row r="847" spans="1:16">
      <c r="A847" t="s">
        <v>17</v>
      </c>
      <c r="B847" t="s">
        <v>18</v>
      </c>
      <c r="C847" t="s">
        <v>37</v>
      </c>
      <c r="D847" t="s">
        <v>15</v>
      </c>
      <c r="E847">
        <v>2022</v>
      </c>
      <c r="F847" t="s">
        <v>30</v>
      </c>
      <c r="G847" t="s">
        <v>41</v>
      </c>
      <c r="H847">
        <v>9</v>
      </c>
      <c r="I847">
        <v>200</v>
      </c>
      <c r="J847" t="s">
        <v>23</v>
      </c>
      <c r="K847" s="3">
        <v>44834</v>
      </c>
      <c r="L847" t="s">
        <v>557</v>
      </c>
      <c r="M847" t="s">
        <v>558</v>
      </c>
      <c r="N847" s="6">
        <f>IF(Tabela5[[#This Row],[Dim_Cenario'[Nome Cenario']]]=Tabela5[[#Headers],[INIC Atual]],Tabela5[[#This Row],['[Valores_cenario']]],0)</f>
        <v>0</v>
      </c>
      <c r="O847" s="6">
        <f>IF(Tabela5[[#This Row],[Dim_Cenario'[Nome Cenario']]]=Tabela5[[#Headers],[Revisado]],Tabela5[[#This Row],['[Valores_cenario']]],0)</f>
        <v>0</v>
      </c>
      <c r="P847" s="6">
        <f>IF(Tabela5[[#This Row],[Dim_Cenario'[Nome Cenario']]]=Tabela5[[#Headers],[Realizado]],Tabela5[[#This Row],['[Valores_cenario']]],0)</f>
        <v>200</v>
      </c>
    </row>
    <row r="848" spans="1:16">
      <c r="A848" t="s">
        <v>17</v>
      </c>
      <c r="B848" t="s">
        <v>18</v>
      </c>
      <c r="C848" t="s">
        <v>37</v>
      </c>
      <c r="D848" t="s">
        <v>15</v>
      </c>
      <c r="E848">
        <v>2023</v>
      </c>
      <c r="F848" t="s">
        <v>27</v>
      </c>
      <c r="G848" t="s">
        <v>39</v>
      </c>
      <c r="H848">
        <v>5</v>
      </c>
      <c r="I848">
        <v>200</v>
      </c>
      <c r="J848" t="s">
        <v>23</v>
      </c>
      <c r="K848" s="3">
        <v>45070</v>
      </c>
      <c r="L848" t="s">
        <v>559</v>
      </c>
      <c r="M848" t="s">
        <v>560</v>
      </c>
      <c r="N848" s="6">
        <f>IF(Tabela5[[#This Row],[Dim_Cenario'[Nome Cenario']]]=Tabela5[[#Headers],[INIC Atual]],Tabela5[[#This Row],['[Valores_cenario']]],0)</f>
        <v>0</v>
      </c>
      <c r="O848" s="6">
        <f>IF(Tabela5[[#This Row],[Dim_Cenario'[Nome Cenario']]]=Tabela5[[#Headers],[Revisado]],Tabela5[[#This Row],['[Valores_cenario']]],0)</f>
        <v>0</v>
      </c>
      <c r="P848" s="6">
        <f>IF(Tabela5[[#This Row],[Dim_Cenario'[Nome Cenario']]]=Tabela5[[#Headers],[Realizado]],Tabela5[[#This Row],['[Valores_cenario']]],0)</f>
        <v>200</v>
      </c>
    </row>
    <row r="849" hidden="1" spans="1:16">
      <c r="A849" t="s">
        <v>17</v>
      </c>
      <c r="B849" t="s">
        <v>92</v>
      </c>
      <c r="C849" t="s">
        <v>37</v>
      </c>
      <c r="D849" t="s">
        <v>15</v>
      </c>
      <c r="E849">
        <v>2025</v>
      </c>
      <c r="F849" t="s">
        <v>21</v>
      </c>
      <c r="G849" t="s">
        <v>22</v>
      </c>
      <c r="H849">
        <v>10</v>
      </c>
      <c r="I849">
        <v>23047.5</v>
      </c>
      <c r="J849" t="s">
        <v>33</v>
      </c>
      <c r="K849" s="3">
        <v>45961</v>
      </c>
      <c r="M849" t="s">
        <v>561</v>
      </c>
      <c r="N849" s="6">
        <f>IF(Tabela5[[#This Row],[Dim_Cenario'[Nome Cenario']]]=Tabela5[[#Headers],[INIC Atual]],Tabela5[[#This Row],['[Valores_cenario']]],0)</f>
        <v>0</v>
      </c>
      <c r="O849" s="6">
        <f>IF(Tabela5[[#This Row],[Dim_Cenario'[Nome Cenario']]]=Tabela5[[#Headers],[Revisado]],Tabela5[[#This Row],['[Valores_cenario']]],0)</f>
        <v>0</v>
      </c>
      <c r="P849" s="6">
        <f>IF(Tabela5[[#This Row],[Dim_Cenario'[Nome Cenario']]]=Tabela5[[#Headers],[Realizado]],Tabela5[[#This Row],['[Valores_cenario']]],0)</f>
        <v>23047.5</v>
      </c>
    </row>
    <row r="850" hidden="1" spans="1:16">
      <c r="A850" t="s">
        <v>97</v>
      </c>
      <c r="B850" t="s">
        <v>18</v>
      </c>
      <c r="C850" t="s">
        <v>98</v>
      </c>
      <c r="D850" t="s">
        <v>15</v>
      </c>
      <c r="E850">
        <v>2024</v>
      </c>
      <c r="F850" t="s">
        <v>27</v>
      </c>
      <c r="G850" t="s">
        <v>39</v>
      </c>
      <c r="H850">
        <v>5</v>
      </c>
      <c r="I850">
        <v>5160</v>
      </c>
      <c r="J850" t="s">
        <v>23</v>
      </c>
      <c r="K850" s="3">
        <v>45436</v>
      </c>
      <c r="L850" t="s">
        <v>512</v>
      </c>
      <c r="M850" t="s">
        <v>562</v>
      </c>
      <c r="N850" s="6">
        <f>IF(Tabela5[[#This Row],[Dim_Cenario'[Nome Cenario']]]=Tabela5[[#Headers],[INIC Atual]],Tabela5[[#This Row],['[Valores_cenario']]],0)</f>
        <v>0</v>
      </c>
      <c r="O850" s="6">
        <f>IF(Tabela5[[#This Row],[Dim_Cenario'[Nome Cenario']]]=Tabela5[[#Headers],[Revisado]],Tabela5[[#This Row],['[Valores_cenario']]],0)</f>
        <v>0</v>
      </c>
      <c r="P850" s="6">
        <f>IF(Tabela5[[#This Row],[Dim_Cenario'[Nome Cenario']]]=Tabela5[[#Headers],[Realizado]],Tabela5[[#This Row],['[Valores_cenario']]],0)</f>
        <v>5160</v>
      </c>
    </row>
    <row r="851" hidden="1" spans="1:16">
      <c r="A851" t="s">
        <v>97</v>
      </c>
      <c r="B851" t="s">
        <v>18</v>
      </c>
      <c r="C851" t="s">
        <v>98</v>
      </c>
      <c r="D851" t="s">
        <v>15</v>
      </c>
      <c r="E851">
        <v>2024</v>
      </c>
      <c r="F851" t="s">
        <v>27</v>
      </c>
      <c r="G851" t="s">
        <v>39</v>
      </c>
      <c r="H851">
        <v>5</v>
      </c>
      <c r="I851">
        <v>93.41</v>
      </c>
      <c r="J851" t="s">
        <v>23</v>
      </c>
      <c r="K851" s="3">
        <v>45443</v>
      </c>
      <c r="L851" t="s">
        <v>50</v>
      </c>
      <c r="M851" t="s">
        <v>563</v>
      </c>
      <c r="N851" s="6">
        <f>IF(Tabela5[[#This Row],[Dim_Cenario'[Nome Cenario']]]=Tabela5[[#Headers],[INIC Atual]],Tabela5[[#This Row],['[Valores_cenario']]],0)</f>
        <v>0</v>
      </c>
      <c r="O851" s="6">
        <f>IF(Tabela5[[#This Row],[Dim_Cenario'[Nome Cenario']]]=Tabela5[[#Headers],[Revisado]],Tabela5[[#This Row],['[Valores_cenario']]],0)</f>
        <v>0</v>
      </c>
      <c r="P851" s="6">
        <f>IF(Tabela5[[#This Row],[Dim_Cenario'[Nome Cenario']]]=Tabela5[[#Headers],[Realizado]],Tabela5[[#This Row],['[Valores_cenario']]],0)</f>
        <v>93.41</v>
      </c>
    </row>
    <row r="852" hidden="1" spans="1:16">
      <c r="A852" t="s">
        <v>97</v>
      </c>
      <c r="B852" t="s">
        <v>18</v>
      </c>
      <c r="C852" t="s">
        <v>98</v>
      </c>
      <c r="D852" t="s">
        <v>15</v>
      </c>
      <c r="E852">
        <v>2024</v>
      </c>
      <c r="F852" t="s">
        <v>27</v>
      </c>
      <c r="G852" t="s">
        <v>39</v>
      </c>
      <c r="H852">
        <v>5</v>
      </c>
      <c r="I852">
        <v>93.41</v>
      </c>
      <c r="J852" t="s">
        <v>23</v>
      </c>
      <c r="K852" s="3">
        <v>45443</v>
      </c>
      <c r="L852" t="s">
        <v>50</v>
      </c>
      <c r="M852" t="s">
        <v>511</v>
      </c>
      <c r="N852" s="6">
        <f>IF(Tabela5[[#This Row],[Dim_Cenario'[Nome Cenario']]]=Tabela5[[#Headers],[INIC Atual]],Tabela5[[#This Row],['[Valores_cenario']]],0)</f>
        <v>0</v>
      </c>
      <c r="O852" s="6">
        <f>IF(Tabela5[[#This Row],[Dim_Cenario'[Nome Cenario']]]=Tabela5[[#Headers],[Revisado]],Tabela5[[#This Row],['[Valores_cenario']]],0)</f>
        <v>0</v>
      </c>
      <c r="P852" s="6">
        <f>IF(Tabela5[[#This Row],[Dim_Cenario'[Nome Cenario']]]=Tabela5[[#Headers],[Realizado]],Tabela5[[#This Row],['[Valores_cenario']]],0)</f>
        <v>93.41</v>
      </c>
    </row>
    <row r="853" hidden="1" spans="1:16">
      <c r="A853" t="s">
        <v>97</v>
      </c>
      <c r="B853" t="s">
        <v>18</v>
      </c>
      <c r="C853" t="s">
        <v>98</v>
      </c>
      <c r="D853" t="s">
        <v>15</v>
      </c>
      <c r="E853">
        <v>2024</v>
      </c>
      <c r="F853" t="s">
        <v>27</v>
      </c>
      <c r="G853" t="s">
        <v>29</v>
      </c>
      <c r="H853">
        <v>6</v>
      </c>
      <c r="I853">
        <v>-93.41</v>
      </c>
      <c r="J853" t="s">
        <v>23</v>
      </c>
      <c r="K853" s="3">
        <v>45448</v>
      </c>
      <c r="L853" t="s">
        <v>50</v>
      </c>
      <c r="M853" t="s">
        <v>563</v>
      </c>
      <c r="N853" s="6">
        <f>IF(Tabela5[[#This Row],[Dim_Cenario'[Nome Cenario']]]=Tabela5[[#Headers],[INIC Atual]],Tabela5[[#This Row],['[Valores_cenario']]],0)</f>
        <v>0</v>
      </c>
      <c r="O853" s="6">
        <f>IF(Tabela5[[#This Row],[Dim_Cenario'[Nome Cenario']]]=Tabela5[[#Headers],[Revisado]],Tabela5[[#This Row],['[Valores_cenario']]],0)</f>
        <v>0</v>
      </c>
      <c r="P853" s="6">
        <f>IF(Tabela5[[#This Row],[Dim_Cenario'[Nome Cenario']]]=Tabela5[[#Headers],[Realizado]],Tabela5[[#This Row],['[Valores_cenario']]],0)</f>
        <v>-93.41</v>
      </c>
    </row>
    <row r="854" hidden="1" spans="1:16">
      <c r="A854" t="s">
        <v>97</v>
      </c>
      <c r="B854" t="s">
        <v>18</v>
      </c>
      <c r="C854" t="s">
        <v>98</v>
      </c>
      <c r="D854" t="s">
        <v>15</v>
      </c>
      <c r="E854">
        <v>2024</v>
      </c>
      <c r="F854" t="s">
        <v>27</v>
      </c>
      <c r="G854" t="s">
        <v>29</v>
      </c>
      <c r="H854">
        <v>6</v>
      </c>
      <c r="I854">
        <v>-93.41</v>
      </c>
      <c r="J854" t="s">
        <v>23</v>
      </c>
      <c r="K854" s="3">
        <v>45448</v>
      </c>
      <c r="L854" t="s">
        <v>50</v>
      </c>
      <c r="M854" t="s">
        <v>511</v>
      </c>
      <c r="N854" s="6">
        <f>IF(Tabela5[[#This Row],[Dim_Cenario'[Nome Cenario']]]=Tabela5[[#Headers],[INIC Atual]],Tabela5[[#This Row],['[Valores_cenario']]],0)</f>
        <v>0</v>
      </c>
      <c r="O854" s="6">
        <f>IF(Tabela5[[#This Row],[Dim_Cenario'[Nome Cenario']]]=Tabela5[[#Headers],[Revisado]],Tabela5[[#This Row],['[Valores_cenario']]],0)</f>
        <v>0</v>
      </c>
      <c r="P854" s="6">
        <f>IF(Tabela5[[#This Row],[Dim_Cenario'[Nome Cenario']]]=Tabela5[[#Headers],[Realizado]],Tabela5[[#This Row],['[Valores_cenario']]],0)</f>
        <v>-93.41</v>
      </c>
    </row>
    <row r="855" spans="1:16">
      <c r="A855" t="s">
        <v>17</v>
      </c>
      <c r="B855" t="s">
        <v>18</v>
      </c>
      <c r="C855" t="s">
        <v>37</v>
      </c>
      <c r="D855" t="s">
        <v>15</v>
      </c>
      <c r="E855">
        <v>2024</v>
      </c>
      <c r="F855" t="s">
        <v>30</v>
      </c>
      <c r="G855" t="s">
        <v>41</v>
      </c>
      <c r="H855">
        <v>9</v>
      </c>
      <c r="I855">
        <v>160</v>
      </c>
      <c r="J855" t="s">
        <v>23</v>
      </c>
      <c r="K855" s="3">
        <v>45536</v>
      </c>
      <c r="L855" t="s">
        <v>564</v>
      </c>
      <c r="M855" t="s">
        <v>565</v>
      </c>
      <c r="N855" s="6">
        <f>IF(Tabela5[[#This Row],[Dim_Cenario'[Nome Cenario']]]=Tabela5[[#Headers],[INIC Atual]],Tabela5[[#This Row],['[Valores_cenario']]],0)</f>
        <v>0</v>
      </c>
      <c r="O855" s="6">
        <f>IF(Tabela5[[#This Row],[Dim_Cenario'[Nome Cenario']]]=Tabela5[[#Headers],[Revisado]],Tabela5[[#This Row],['[Valores_cenario']]],0)</f>
        <v>0</v>
      </c>
      <c r="P855" s="6">
        <f>IF(Tabela5[[#This Row],[Dim_Cenario'[Nome Cenario']]]=Tabela5[[#Headers],[Realizado]],Tabela5[[#This Row],['[Valores_cenario']]],0)</f>
        <v>160</v>
      </c>
    </row>
    <row r="856" hidden="1" spans="1:16">
      <c r="A856" t="s">
        <v>97</v>
      </c>
      <c r="B856" t="s">
        <v>18</v>
      </c>
      <c r="C856" t="s">
        <v>98</v>
      </c>
      <c r="D856" t="s">
        <v>15</v>
      </c>
      <c r="E856">
        <v>2024</v>
      </c>
      <c r="F856" t="s">
        <v>27</v>
      </c>
      <c r="G856" t="s">
        <v>29</v>
      </c>
      <c r="H856">
        <v>6</v>
      </c>
      <c r="I856">
        <v>93.41</v>
      </c>
      <c r="J856" t="s">
        <v>23</v>
      </c>
      <c r="K856" s="3">
        <v>45473</v>
      </c>
      <c r="L856" t="s">
        <v>50</v>
      </c>
      <c r="M856" t="s">
        <v>566</v>
      </c>
      <c r="N856" s="6">
        <f>IF(Tabela5[[#This Row],[Dim_Cenario'[Nome Cenario']]]=Tabela5[[#Headers],[INIC Atual]],Tabela5[[#This Row],['[Valores_cenario']]],0)</f>
        <v>0</v>
      </c>
      <c r="O856" s="6">
        <f>IF(Tabela5[[#This Row],[Dim_Cenario'[Nome Cenario']]]=Tabela5[[#Headers],[Revisado]],Tabela5[[#This Row],['[Valores_cenario']]],0)</f>
        <v>0</v>
      </c>
      <c r="P856" s="6">
        <f>IF(Tabela5[[#This Row],[Dim_Cenario'[Nome Cenario']]]=Tabela5[[#Headers],[Realizado]],Tabela5[[#This Row],['[Valores_cenario']]],0)</f>
        <v>93.41</v>
      </c>
    </row>
    <row r="857" hidden="1" spans="1:16">
      <c r="A857" t="s">
        <v>97</v>
      </c>
      <c r="B857" t="s">
        <v>18</v>
      </c>
      <c r="C857" t="s">
        <v>98</v>
      </c>
      <c r="D857" t="s">
        <v>15</v>
      </c>
      <c r="E857">
        <v>2024</v>
      </c>
      <c r="F857" t="s">
        <v>27</v>
      </c>
      <c r="G857" t="s">
        <v>29</v>
      </c>
      <c r="H857">
        <v>6</v>
      </c>
      <c r="I857">
        <v>93.41</v>
      </c>
      <c r="J857" t="s">
        <v>23</v>
      </c>
      <c r="K857" s="3">
        <v>45473</v>
      </c>
      <c r="L857" t="s">
        <v>50</v>
      </c>
      <c r="M857" t="s">
        <v>511</v>
      </c>
      <c r="N857" s="6">
        <f>IF(Tabela5[[#This Row],[Dim_Cenario'[Nome Cenario']]]=Tabela5[[#Headers],[INIC Atual]],Tabela5[[#This Row],['[Valores_cenario']]],0)</f>
        <v>0</v>
      </c>
      <c r="O857" s="6">
        <f>IF(Tabela5[[#This Row],[Dim_Cenario'[Nome Cenario']]]=Tabela5[[#Headers],[Revisado]],Tabela5[[#This Row],['[Valores_cenario']]],0)</f>
        <v>0</v>
      </c>
      <c r="P857" s="6">
        <f>IF(Tabela5[[#This Row],[Dim_Cenario'[Nome Cenario']]]=Tabela5[[#Headers],[Realizado]],Tabela5[[#This Row],['[Valores_cenario']]],0)</f>
        <v>93.41</v>
      </c>
    </row>
    <row r="858" hidden="1" spans="1:16">
      <c r="A858" t="s">
        <v>97</v>
      </c>
      <c r="B858" t="s">
        <v>18</v>
      </c>
      <c r="C858" t="s">
        <v>98</v>
      </c>
      <c r="D858" t="s">
        <v>15</v>
      </c>
      <c r="E858">
        <v>2024</v>
      </c>
      <c r="F858" t="s">
        <v>30</v>
      </c>
      <c r="G858" t="s">
        <v>40</v>
      </c>
      <c r="H858">
        <v>7</v>
      </c>
      <c r="I858">
        <v>-93.41</v>
      </c>
      <c r="J858" t="s">
        <v>23</v>
      </c>
      <c r="K858" s="3">
        <v>45481</v>
      </c>
      <c r="L858" t="s">
        <v>50</v>
      </c>
      <c r="M858" t="s">
        <v>566</v>
      </c>
      <c r="N858" s="6">
        <f>IF(Tabela5[[#This Row],[Dim_Cenario'[Nome Cenario']]]=Tabela5[[#Headers],[INIC Atual]],Tabela5[[#This Row],['[Valores_cenario']]],0)</f>
        <v>0</v>
      </c>
      <c r="O858" s="6">
        <f>IF(Tabela5[[#This Row],[Dim_Cenario'[Nome Cenario']]]=Tabela5[[#Headers],[Revisado]],Tabela5[[#This Row],['[Valores_cenario']]],0)</f>
        <v>0</v>
      </c>
      <c r="P858" s="6">
        <f>IF(Tabela5[[#This Row],[Dim_Cenario'[Nome Cenario']]]=Tabela5[[#Headers],[Realizado]],Tabela5[[#This Row],['[Valores_cenario']]],0)</f>
        <v>-93.41</v>
      </c>
    </row>
    <row r="859" hidden="1" spans="1:16">
      <c r="A859" t="s">
        <v>97</v>
      </c>
      <c r="B859" t="s">
        <v>18</v>
      </c>
      <c r="C859" t="s">
        <v>98</v>
      </c>
      <c r="D859" t="s">
        <v>15</v>
      </c>
      <c r="E859">
        <v>2024</v>
      </c>
      <c r="F859" t="s">
        <v>30</v>
      </c>
      <c r="G859" t="s">
        <v>40</v>
      </c>
      <c r="H859">
        <v>7</v>
      </c>
      <c r="I859">
        <v>-93.41</v>
      </c>
      <c r="J859" t="s">
        <v>23</v>
      </c>
      <c r="K859" s="3">
        <v>45481</v>
      </c>
      <c r="L859" t="s">
        <v>50</v>
      </c>
      <c r="M859" t="s">
        <v>511</v>
      </c>
      <c r="N859" s="6">
        <f>IF(Tabela5[[#This Row],[Dim_Cenario'[Nome Cenario']]]=Tabela5[[#Headers],[INIC Atual]],Tabela5[[#This Row],['[Valores_cenario']]],0)</f>
        <v>0</v>
      </c>
      <c r="O859" s="6">
        <f>IF(Tabela5[[#This Row],[Dim_Cenario'[Nome Cenario']]]=Tabela5[[#Headers],[Revisado]],Tabela5[[#This Row],['[Valores_cenario']]],0)</f>
        <v>0</v>
      </c>
      <c r="P859" s="6">
        <f>IF(Tabela5[[#This Row],[Dim_Cenario'[Nome Cenario']]]=Tabela5[[#Headers],[Realizado]],Tabela5[[#This Row],['[Valores_cenario']]],0)</f>
        <v>-93.41</v>
      </c>
    </row>
    <row r="860" hidden="1" spans="1:16">
      <c r="A860" t="s">
        <v>97</v>
      </c>
      <c r="B860" t="s">
        <v>18</v>
      </c>
      <c r="C860" t="s">
        <v>98</v>
      </c>
      <c r="D860" t="s">
        <v>15</v>
      </c>
      <c r="E860">
        <v>2024</v>
      </c>
      <c r="F860" t="s">
        <v>30</v>
      </c>
      <c r="G860" t="s">
        <v>40</v>
      </c>
      <c r="H860">
        <v>7</v>
      </c>
      <c r="I860">
        <v>34500</v>
      </c>
      <c r="J860" t="s">
        <v>23</v>
      </c>
      <c r="K860" s="3">
        <v>45484</v>
      </c>
      <c r="L860" t="s">
        <v>512</v>
      </c>
      <c r="M860" t="s">
        <v>567</v>
      </c>
      <c r="N860" s="6">
        <f>IF(Tabela5[[#This Row],[Dim_Cenario'[Nome Cenario']]]=Tabela5[[#Headers],[INIC Atual]],Tabela5[[#This Row],['[Valores_cenario']]],0)</f>
        <v>0</v>
      </c>
      <c r="O860" s="6">
        <f>IF(Tabela5[[#This Row],[Dim_Cenario'[Nome Cenario']]]=Tabela5[[#Headers],[Revisado]],Tabela5[[#This Row],['[Valores_cenario']]],0)</f>
        <v>0</v>
      </c>
      <c r="P860" s="6">
        <f>IF(Tabela5[[#This Row],[Dim_Cenario'[Nome Cenario']]]=Tabela5[[#Headers],[Realizado]],Tabela5[[#This Row],['[Valores_cenario']]],0)</f>
        <v>34500</v>
      </c>
    </row>
    <row r="861" hidden="1" spans="1:16">
      <c r="A861" t="s">
        <v>97</v>
      </c>
      <c r="B861" t="s">
        <v>18</v>
      </c>
      <c r="C861" t="s">
        <v>98</v>
      </c>
      <c r="D861" t="s">
        <v>15</v>
      </c>
      <c r="E861">
        <v>2024</v>
      </c>
      <c r="F861" t="s">
        <v>30</v>
      </c>
      <c r="G861" t="s">
        <v>40</v>
      </c>
      <c r="H861">
        <v>7</v>
      </c>
      <c r="I861">
        <v>2150</v>
      </c>
      <c r="J861" t="s">
        <v>23</v>
      </c>
      <c r="K861" s="3">
        <v>45503</v>
      </c>
      <c r="L861" t="s">
        <v>512</v>
      </c>
      <c r="M861" t="s">
        <v>568</v>
      </c>
      <c r="N861" s="6">
        <f>IF(Tabela5[[#This Row],[Dim_Cenario'[Nome Cenario']]]=Tabela5[[#Headers],[INIC Atual]],Tabela5[[#This Row],['[Valores_cenario']]],0)</f>
        <v>0</v>
      </c>
      <c r="O861" s="6">
        <f>IF(Tabela5[[#This Row],[Dim_Cenario'[Nome Cenario']]]=Tabela5[[#Headers],[Revisado]],Tabela5[[#This Row],['[Valores_cenario']]],0)</f>
        <v>0</v>
      </c>
      <c r="P861" s="6">
        <f>IF(Tabela5[[#This Row],[Dim_Cenario'[Nome Cenario']]]=Tabela5[[#Headers],[Realizado]],Tabela5[[#This Row],['[Valores_cenario']]],0)</f>
        <v>2150</v>
      </c>
    </row>
    <row r="862" hidden="1" spans="1:16">
      <c r="A862" t="s">
        <v>97</v>
      </c>
      <c r="B862" t="s">
        <v>18</v>
      </c>
      <c r="C862" t="s">
        <v>98</v>
      </c>
      <c r="D862" t="s">
        <v>15</v>
      </c>
      <c r="E862">
        <v>2024</v>
      </c>
      <c r="F862" t="s">
        <v>30</v>
      </c>
      <c r="G862" t="s">
        <v>40</v>
      </c>
      <c r="H862">
        <v>7</v>
      </c>
      <c r="I862">
        <v>93.41</v>
      </c>
      <c r="J862" t="s">
        <v>23</v>
      </c>
      <c r="K862" s="3">
        <v>45504</v>
      </c>
      <c r="L862" t="s">
        <v>50</v>
      </c>
      <c r="M862" t="s">
        <v>569</v>
      </c>
      <c r="N862" s="6">
        <f>IF(Tabela5[[#This Row],[Dim_Cenario'[Nome Cenario']]]=Tabela5[[#Headers],[INIC Atual]],Tabela5[[#This Row],['[Valores_cenario']]],0)</f>
        <v>0</v>
      </c>
      <c r="O862" s="6">
        <f>IF(Tabela5[[#This Row],[Dim_Cenario'[Nome Cenario']]]=Tabela5[[#Headers],[Revisado]],Tabela5[[#This Row],['[Valores_cenario']]],0)</f>
        <v>0</v>
      </c>
      <c r="P862" s="6">
        <f>IF(Tabela5[[#This Row],[Dim_Cenario'[Nome Cenario']]]=Tabela5[[#Headers],[Realizado]],Tabela5[[#This Row],['[Valores_cenario']]],0)</f>
        <v>93.41</v>
      </c>
    </row>
    <row r="863" hidden="1" spans="1:16">
      <c r="A863" t="s">
        <v>97</v>
      </c>
      <c r="B863" t="s">
        <v>18</v>
      </c>
      <c r="C863" t="s">
        <v>98</v>
      </c>
      <c r="D863" t="s">
        <v>15</v>
      </c>
      <c r="E863">
        <v>2024</v>
      </c>
      <c r="F863" t="s">
        <v>30</v>
      </c>
      <c r="G863" t="s">
        <v>40</v>
      </c>
      <c r="H863">
        <v>7</v>
      </c>
      <c r="I863">
        <v>93.41</v>
      </c>
      <c r="J863" t="s">
        <v>23</v>
      </c>
      <c r="K863" s="3">
        <v>45504</v>
      </c>
      <c r="L863" t="s">
        <v>50</v>
      </c>
      <c r="M863" t="s">
        <v>511</v>
      </c>
      <c r="N863" s="6">
        <f>IF(Tabela5[[#This Row],[Dim_Cenario'[Nome Cenario']]]=Tabela5[[#Headers],[INIC Atual]],Tabela5[[#This Row],['[Valores_cenario']]],0)</f>
        <v>0</v>
      </c>
      <c r="O863" s="6">
        <f>IF(Tabela5[[#This Row],[Dim_Cenario'[Nome Cenario']]]=Tabela5[[#Headers],[Revisado]],Tabela5[[#This Row],['[Valores_cenario']]],0)</f>
        <v>0</v>
      </c>
      <c r="P863" s="6">
        <f>IF(Tabela5[[#This Row],[Dim_Cenario'[Nome Cenario']]]=Tabela5[[#Headers],[Realizado]],Tabela5[[#This Row],['[Valores_cenario']]],0)</f>
        <v>93.41</v>
      </c>
    </row>
    <row r="864" hidden="1" spans="1:16">
      <c r="A864" t="s">
        <v>97</v>
      </c>
      <c r="B864" t="s">
        <v>18</v>
      </c>
      <c r="C864" t="s">
        <v>98</v>
      </c>
      <c r="D864" t="s">
        <v>15</v>
      </c>
      <c r="E864">
        <v>2024</v>
      </c>
      <c r="F864" t="s">
        <v>30</v>
      </c>
      <c r="G864" t="s">
        <v>31</v>
      </c>
      <c r="H864">
        <v>8</v>
      </c>
      <c r="I864">
        <v>-93.41</v>
      </c>
      <c r="J864" t="s">
        <v>23</v>
      </c>
      <c r="K864" s="3">
        <v>45510</v>
      </c>
      <c r="L864" t="s">
        <v>50</v>
      </c>
      <c r="M864" t="s">
        <v>569</v>
      </c>
      <c r="N864" s="6">
        <f>IF(Tabela5[[#This Row],[Dim_Cenario'[Nome Cenario']]]=Tabela5[[#Headers],[INIC Atual]],Tabela5[[#This Row],['[Valores_cenario']]],0)</f>
        <v>0</v>
      </c>
      <c r="O864" s="6">
        <f>IF(Tabela5[[#This Row],[Dim_Cenario'[Nome Cenario']]]=Tabela5[[#Headers],[Revisado]],Tabela5[[#This Row],['[Valores_cenario']]],0)</f>
        <v>0</v>
      </c>
      <c r="P864" s="6">
        <f>IF(Tabela5[[#This Row],[Dim_Cenario'[Nome Cenario']]]=Tabela5[[#Headers],[Realizado]],Tabela5[[#This Row],['[Valores_cenario']]],0)</f>
        <v>-93.41</v>
      </c>
    </row>
    <row r="865" hidden="1" spans="1:16">
      <c r="A865" t="s">
        <v>97</v>
      </c>
      <c r="B865" t="s">
        <v>18</v>
      </c>
      <c r="C865" t="s">
        <v>98</v>
      </c>
      <c r="D865" t="s">
        <v>15</v>
      </c>
      <c r="E865">
        <v>2024</v>
      </c>
      <c r="F865" t="s">
        <v>30</v>
      </c>
      <c r="G865" t="s">
        <v>31</v>
      </c>
      <c r="H865">
        <v>8</v>
      </c>
      <c r="I865">
        <v>-93.41</v>
      </c>
      <c r="J865" t="s">
        <v>23</v>
      </c>
      <c r="K865" s="3">
        <v>45510</v>
      </c>
      <c r="L865" t="s">
        <v>50</v>
      </c>
      <c r="M865" t="s">
        <v>511</v>
      </c>
      <c r="N865" s="6">
        <f>IF(Tabela5[[#This Row],[Dim_Cenario'[Nome Cenario']]]=Tabela5[[#Headers],[INIC Atual]],Tabela5[[#This Row],['[Valores_cenario']]],0)</f>
        <v>0</v>
      </c>
      <c r="O865" s="6">
        <f>IF(Tabela5[[#This Row],[Dim_Cenario'[Nome Cenario']]]=Tabela5[[#Headers],[Revisado]],Tabela5[[#This Row],['[Valores_cenario']]],0)</f>
        <v>0</v>
      </c>
      <c r="P865" s="6">
        <f>IF(Tabela5[[#This Row],[Dim_Cenario'[Nome Cenario']]]=Tabela5[[#Headers],[Realizado]],Tabela5[[#This Row],['[Valores_cenario']]],0)</f>
        <v>-93.41</v>
      </c>
    </row>
    <row r="866" spans="1:16">
      <c r="A866" t="s">
        <v>17</v>
      </c>
      <c r="B866" t="s">
        <v>18</v>
      </c>
      <c r="C866" t="s">
        <v>37</v>
      </c>
      <c r="D866" t="s">
        <v>15</v>
      </c>
      <c r="E866">
        <v>2020</v>
      </c>
      <c r="F866" t="s">
        <v>21</v>
      </c>
      <c r="G866" t="s">
        <v>24</v>
      </c>
      <c r="H866">
        <v>11</v>
      </c>
      <c r="I866">
        <v>120.4</v>
      </c>
      <c r="J866" t="s">
        <v>36</v>
      </c>
      <c r="K866" s="3">
        <v>44162</v>
      </c>
      <c r="L866" t="s">
        <v>50</v>
      </c>
      <c r="M866" t="s">
        <v>570</v>
      </c>
      <c r="N866" s="6">
        <f>IF(Tabela5[[#This Row],[Dim_Cenario'[Nome Cenario']]]=Tabela5[[#Headers],[INIC Atual]],Tabela5[[#This Row],['[Valores_cenario']]],0)</f>
        <v>0</v>
      </c>
      <c r="O866" s="6">
        <f>IF(Tabela5[[#This Row],[Dim_Cenario'[Nome Cenario']]]=Tabela5[[#Headers],[Revisado]],Tabela5[[#This Row],['[Valores_cenario']]],0)</f>
        <v>0</v>
      </c>
      <c r="P866" s="6">
        <f>IF(Tabela5[[#This Row],[Dim_Cenario'[Nome Cenario']]]=Tabela5[[#Headers],[Realizado]],Tabela5[[#This Row],['[Valores_cenario']]],0)</f>
        <v>120.4</v>
      </c>
    </row>
    <row r="867" hidden="1" spans="1:16">
      <c r="A867" t="s">
        <v>97</v>
      </c>
      <c r="B867" t="s">
        <v>18</v>
      </c>
      <c r="C867" t="s">
        <v>98</v>
      </c>
      <c r="D867" t="s">
        <v>15</v>
      </c>
      <c r="E867">
        <v>2024</v>
      </c>
      <c r="F867" t="s">
        <v>30</v>
      </c>
      <c r="G867" t="s">
        <v>31</v>
      </c>
      <c r="H867">
        <v>8</v>
      </c>
      <c r="I867">
        <v>17250</v>
      </c>
      <c r="J867" t="s">
        <v>23</v>
      </c>
      <c r="K867" s="3">
        <v>45513</v>
      </c>
      <c r="L867" t="s">
        <v>512</v>
      </c>
      <c r="M867" t="s">
        <v>571</v>
      </c>
      <c r="N867" s="6">
        <f>IF(Tabela5[[#This Row],[Dim_Cenario'[Nome Cenario']]]=Tabela5[[#Headers],[INIC Atual]],Tabela5[[#This Row],['[Valores_cenario']]],0)</f>
        <v>0</v>
      </c>
      <c r="O867" s="6">
        <f>IF(Tabela5[[#This Row],[Dim_Cenario'[Nome Cenario']]]=Tabela5[[#Headers],[Revisado]],Tabela5[[#This Row],['[Valores_cenario']]],0)</f>
        <v>0</v>
      </c>
      <c r="P867" s="6">
        <f>IF(Tabela5[[#This Row],[Dim_Cenario'[Nome Cenario']]]=Tabela5[[#Headers],[Realizado]],Tabela5[[#This Row],['[Valores_cenario']]],0)</f>
        <v>17250</v>
      </c>
    </row>
    <row r="868" hidden="1" spans="1:16">
      <c r="A868" t="s">
        <v>97</v>
      </c>
      <c r="B868" t="s">
        <v>18</v>
      </c>
      <c r="C868" t="s">
        <v>98</v>
      </c>
      <c r="D868" t="s">
        <v>15</v>
      </c>
      <c r="E868">
        <v>2024</v>
      </c>
      <c r="F868" t="s">
        <v>30</v>
      </c>
      <c r="G868" t="s">
        <v>31</v>
      </c>
      <c r="H868">
        <v>8</v>
      </c>
      <c r="I868">
        <v>1290</v>
      </c>
      <c r="J868" t="s">
        <v>23</v>
      </c>
      <c r="K868" s="3">
        <v>45532</v>
      </c>
      <c r="L868" t="s">
        <v>512</v>
      </c>
      <c r="M868" t="s">
        <v>572</v>
      </c>
      <c r="N868" s="6">
        <f>IF(Tabela5[[#This Row],[Dim_Cenario'[Nome Cenario']]]=Tabela5[[#Headers],[INIC Atual]],Tabela5[[#This Row],['[Valores_cenario']]],0)</f>
        <v>0</v>
      </c>
      <c r="O868" s="6">
        <f>IF(Tabela5[[#This Row],[Dim_Cenario'[Nome Cenario']]]=Tabela5[[#Headers],[Revisado]],Tabela5[[#This Row],['[Valores_cenario']]],0)</f>
        <v>0</v>
      </c>
      <c r="P868" s="6">
        <f>IF(Tabela5[[#This Row],[Dim_Cenario'[Nome Cenario']]]=Tabela5[[#Headers],[Realizado]],Tabela5[[#This Row],['[Valores_cenario']]],0)</f>
        <v>1290</v>
      </c>
    </row>
    <row r="869" hidden="1" spans="1:16">
      <c r="A869" t="s">
        <v>97</v>
      </c>
      <c r="B869" t="s">
        <v>18</v>
      </c>
      <c r="C869" t="s">
        <v>98</v>
      </c>
      <c r="D869" t="s">
        <v>15</v>
      </c>
      <c r="E869">
        <v>2024</v>
      </c>
      <c r="F869" t="s">
        <v>30</v>
      </c>
      <c r="G869" t="s">
        <v>31</v>
      </c>
      <c r="H869">
        <v>8</v>
      </c>
      <c r="I869">
        <v>93.41</v>
      </c>
      <c r="J869" t="s">
        <v>23</v>
      </c>
      <c r="K869" s="3">
        <v>45535</v>
      </c>
      <c r="L869" t="s">
        <v>50</v>
      </c>
      <c r="M869" t="s">
        <v>573</v>
      </c>
      <c r="N869" s="6">
        <f>IF(Tabela5[[#This Row],[Dim_Cenario'[Nome Cenario']]]=Tabela5[[#Headers],[INIC Atual]],Tabela5[[#This Row],['[Valores_cenario']]],0)</f>
        <v>0</v>
      </c>
      <c r="O869" s="6">
        <f>IF(Tabela5[[#This Row],[Dim_Cenario'[Nome Cenario']]]=Tabela5[[#Headers],[Revisado]],Tabela5[[#This Row],['[Valores_cenario']]],0)</f>
        <v>0</v>
      </c>
      <c r="P869" s="6">
        <f>IF(Tabela5[[#This Row],[Dim_Cenario'[Nome Cenario']]]=Tabela5[[#Headers],[Realizado]],Tabela5[[#This Row],['[Valores_cenario']]],0)</f>
        <v>93.41</v>
      </c>
    </row>
    <row r="870" hidden="1" spans="1:16">
      <c r="A870" t="s">
        <v>17</v>
      </c>
      <c r="B870" t="s">
        <v>18</v>
      </c>
      <c r="C870" t="s">
        <v>37</v>
      </c>
      <c r="D870" t="s">
        <v>20</v>
      </c>
      <c r="E870">
        <v>2026</v>
      </c>
      <c r="F870" t="s">
        <v>25</v>
      </c>
      <c r="G870" t="s">
        <v>35</v>
      </c>
      <c r="H870">
        <v>1</v>
      </c>
      <c r="I870">
        <v>32323.34</v>
      </c>
      <c r="J870" t="s">
        <v>33</v>
      </c>
      <c r="K870" s="3"/>
      <c r="N870" s="6">
        <f>IF(Tabela5[[#This Row],[Dim_Cenario'[Nome Cenario']]]=Tabela5[[#Headers],[INIC Atual]],Tabela5[[#This Row],['[Valores_cenario']]],0)</f>
        <v>32323.34</v>
      </c>
      <c r="O870" s="6">
        <f>IF(Tabela5[[#This Row],[Dim_Cenario'[Nome Cenario']]]=Tabela5[[#Headers],[Revisado]],Tabela5[[#This Row],['[Valores_cenario']]],0)</f>
        <v>0</v>
      </c>
      <c r="P870" s="6">
        <f>IF(Tabela5[[#This Row],[Dim_Cenario'[Nome Cenario']]]=Tabela5[[#Headers],[Realizado]],Tabela5[[#This Row],['[Valores_cenario']]],0)</f>
        <v>0</v>
      </c>
    </row>
    <row r="871" hidden="1" spans="1:16">
      <c r="A871" t="s">
        <v>97</v>
      </c>
      <c r="B871" t="s">
        <v>18</v>
      </c>
      <c r="C871" t="s">
        <v>98</v>
      </c>
      <c r="D871" t="s">
        <v>15</v>
      </c>
      <c r="E871">
        <v>2024</v>
      </c>
      <c r="F871" t="s">
        <v>30</v>
      </c>
      <c r="G871" t="s">
        <v>41</v>
      </c>
      <c r="H871">
        <v>9</v>
      </c>
      <c r="I871">
        <v>-93.41</v>
      </c>
      <c r="J871" t="s">
        <v>23</v>
      </c>
      <c r="K871" s="3">
        <v>45539</v>
      </c>
      <c r="L871" t="s">
        <v>50</v>
      </c>
      <c r="M871" t="s">
        <v>573</v>
      </c>
      <c r="N871" s="6">
        <f>IF(Tabela5[[#This Row],[Dim_Cenario'[Nome Cenario']]]=Tabela5[[#Headers],[INIC Atual]],Tabela5[[#This Row],['[Valores_cenario']]],0)</f>
        <v>0</v>
      </c>
      <c r="O871" s="6">
        <f>IF(Tabela5[[#This Row],[Dim_Cenario'[Nome Cenario']]]=Tabela5[[#Headers],[Revisado]],Tabela5[[#This Row],['[Valores_cenario']]],0)</f>
        <v>0</v>
      </c>
      <c r="P871" s="6">
        <f>IF(Tabela5[[#This Row],[Dim_Cenario'[Nome Cenario']]]=Tabela5[[#Headers],[Realizado]],Tabela5[[#This Row],['[Valores_cenario']]],0)</f>
        <v>-93.41</v>
      </c>
    </row>
    <row r="872" hidden="1" spans="1:16">
      <c r="A872" t="s">
        <v>97</v>
      </c>
      <c r="B872" t="s">
        <v>18</v>
      </c>
      <c r="C872" t="s">
        <v>98</v>
      </c>
      <c r="D872" t="s">
        <v>15</v>
      </c>
      <c r="E872">
        <v>2024</v>
      </c>
      <c r="F872" t="s">
        <v>30</v>
      </c>
      <c r="G872" t="s">
        <v>41</v>
      </c>
      <c r="H872">
        <v>9</v>
      </c>
      <c r="I872">
        <v>17250</v>
      </c>
      <c r="J872" t="s">
        <v>23</v>
      </c>
      <c r="K872" s="3">
        <v>45558</v>
      </c>
      <c r="L872" t="s">
        <v>574</v>
      </c>
      <c r="M872" t="s">
        <v>575</v>
      </c>
      <c r="N872" s="6">
        <f>IF(Tabela5[[#This Row],[Dim_Cenario'[Nome Cenario']]]=Tabela5[[#Headers],[INIC Atual]],Tabela5[[#This Row],['[Valores_cenario']]],0)</f>
        <v>0</v>
      </c>
      <c r="O872" s="6">
        <f>IF(Tabela5[[#This Row],[Dim_Cenario'[Nome Cenario']]]=Tabela5[[#Headers],[Revisado]],Tabela5[[#This Row],['[Valores_cenario']]],0)</f>
        <v>0</v>
      </c>
      <c r="P872" s="6">
        <f>IF(Tabela5[[#This Row],[Dim_Cenario'[Nome Cenario']]]=Tabela5[[#Headers],[Realizado]],Tabela5[[#This Row],['[Valores_cenario']]],0)</f>
        <v>17250</v>
      </c>
    </row>
    <row r="873" hidden="1" spans="1:16">
      <c r="A873" t="s">
        <v>17</v>
      </c>
      <c r="B873" t="s">
        <v>18</v>
      </c>
      <c r="C873" t="s">
        <v>37</v>
      </c>
      <c r="D873" t="s">
        <v>20</v>
      </c>
      <c r="E873">
        <v>2026</v>
      </c>
      <c r="F873" t="s">
        <v>25</v>
      </c>
      <c r="G873" t="s">
        <v>26</v>
      </c>
      <c r="H873">
        <v>2</v>
      </c>
      <c r="I873">
        <v>32323.34</v>
      </c>
      <c r="J873" t="s">
        <v>33</v>
      </c>
      <c r="K873" s="3"/>
      <c r="N873" s="6">
        <f>IF(Tabela5[[#This Row],[Dim_Cenario'[Nome Cenario']]]=Tabela5[[#Headers],[INIC Atual]],Tabela5[[#This Row],['[Valores_cenario']]],0)</f>
        <v>32323.34</v>
      </c>
      <c r="O873" s="6">
        <f>IF(Tabela5[[#This Row],[Dim_Cenario'[Nome Cenario']]]=Tabela5[[#Headers],[Revisado]],Tabela5[[#This Row],['[Valores_cenario']]],0)</f>
        <v>0</v>
      </c>
      <c r="P873" s="6">
        <f>IF(Tabela5[[#This Row],[Dim_Cenario'[Nome Cenario']]]=Tabela5[[#Headers],[Realizado]],Tabela5[[#This Row],['[Valores_cenario']]],0)</f>
        <v>0</v>
      </c>
    </row>
    <row r="874" hidden="1" spans="1:16">
      <c r="A874" t="s">
        <v>97</v>
      </c>
      <c r="B874" t="s">
        <v>18</v>
      </c>
      <c r="C874" t="s">
        <v>98</v>
      </c>
      <c r="D874" t="s">
        <v>15</v>
      </c>
      <c r="E874">
        <v>2024</v>
      </c>
      <c r="F874" t="s">
        <v>30</v>
      </c>
      <c r="G874" t="s">
        <v>41</v>
      </c>
      <c r="H874">
        <v>9</v>
      </c>
      <c r="I874">
        <v>93.41</v>
      </c>
      <c r="J874" t="s">
        <v>23</v>
      </c>
      <c r="K874" s="3">
        <v>45565</v>
      </c>
      <c r="L874" t="s">
        <v>50</v>
      </c>
      <c r="M874" t="s">
        <v>576</v>
      </c>
      <c r="N874" s="6">
        <f>IF(Tabela5[[#This Row],[Dim_Cenario'[Nome Cenario']]]=Tabela5[[#Headers],[INIC Atual]],Tabela5[[#This Row],['[Valores_cenario']]],0)</f>
        <v>0</v>
      </c>
      <c r="O874" s="6">
        <f>IF(Tabela5[[#This Row],[Dim_Cenario'[Nome Cenario']]]=Tabela5[[#Headers],[Revisado]],Tabela5[[#This Row],['[Valores_cenario']]],0)</f>
        <v>0</v>
      </c>
      <c r="P874" s="6">
        <f>IF(Tabela5[[#This Row],[Dim_Cenario'[Nome Cenario']]]=Tabela5[[#Headers],[Realizado]],Tabela5[[#This Row],['[Valores_cenario']]],0)</f>
        <v>93.41</v>
      </c>
    </row>
    <row r="875" hidden="1" spans="1:16">
      <c r="A875" t="s">
        <v>17</v>
      </c>
      <c r="B875" t="s">
        <v>18</v>
      </c>
      <c r="C875" t="s">
        <v>37</v>
      </c>
      <c r="D875" t="s">
        <v>20</v>
      </c>
      <c r="E875">
        <v>2026</v>
      </c>
      <c r="F875" t="s">
        <v>25</v>
      </c>
      <c r="G875" t="s">
        <v>38</v>
      </c>
      <c r="H875">
        <v>3</v>
      </c>
      <c r="I875">
        <v>32323.34</v>
      </c>
      <c r="J875" t="s">
        <v>33</v>
      </c>
      <c r="K875" s="3"/>
      <c r="N875" s="6">
        <f>IF(Tabela5[[#This Row],[Dim_Cenario'[Nome Cenario']]]=Tabela5[[#Headers],[INIC Atual]],Tabela5[[#This Row],['[Valores_cenario']]],0)</f>
        <v>32323.34</v>
      </c>
      <c r="O875" s="6">
        <f>IF(Tabela5[[#This Row],[Dim_Cenario'[Nome Cenario']]]=Tabela5[[#Headers],[Revisado]],Tabela5[[#This Row],['[Valores_cenario']]],0)</f>
        <v>0</v>
      </c>
      <c r="P875" s="6">
        <f>IF(Tabela5[[#This Row],[Dim_Cenario'[Nome Cenario']]]=Tabela5[[#Headers],[Realizado]],Tabela5[[#This Row],['[Valores_cenario']]],0)</f>
        <v>0</v>
      </c>
    </row>
    <row r="876" hidden="1" spans="1:16">
      <c r="A876" t="s">
        <v>17</v>
      </c>
      <c r="B876" t="s">
        <v>18</v>
      </c>
      <c r="C876" t="s">
        <v>37</v>
      </c>
      <c r="D876" t="s">
        <v>20</v>
      </c>
      <c r="E876">
        <v>2026</v>
      </c>
      <c r="F876" t="s">
        <v>27</v>
      </c>
      <c r="G876" t="s">
        <v>28</v>
      </c>
      <c r="H876">
        <v>4</v>
      </c>
      <c r="I876">
        <v>32323.34</v>
      </c>
      <c r="J876" t="s">
        <v>33</v>
      </c>
      <c r="K876" s="3"/>
      <c r="N876" s="6">
        <f>IF(Tabela5[[#This Row],[Dim_Cenario'[Nome Cenario']]]=Tabela5[[#Headers],[INIC Atual]],Tabela5[[#This Row],['[Valores_cenario']]],0)</f>
        <v>32323.34</v>
      </c>
      <c r="O876" s="6">
        <f>IF(Tabela5[[#This Row],[Dim_Cenario'[Nome Cenario']]]=Tabela5[[#Headers],[Revisado]],Tabela5[[#This Row],['[Valores_cenario']]],0)</f>
        <v>0</v>
      </c>
      <c r="P876" s="6">
        <f>IF(Tabela5[[#This Row],[Dim_Cenario'[Nome Cenario']]]=Tabela5[[#Headers],[Realizado]],Tabela5[[#This Row],['[Valores_cenario']]],0)</f>
        <v>0</v>
      </c>
    </row>
    <row r="877" hidden="1" spans="1:16">
      <c r="A877" t="s">
        <v>97</v>
      </c>
      <c r="B877" t="s">
        <v>18</v>
      </c>
      <c r="C877" t="s">
        <v>98</v>
      </c>
      <c r="D877" t="s">
        <v>15</v>
      </c>
      <c r="E877">
        <v>2024</v>
      </c>
      <c r="F877" t="s">
        <v>21</v>
      </c>
      <c r="G877" t="s">
        <v>22</v>
      </c>
      <c r="H877">
        <v>10</v>
      </c>
      <c r="I877">
        <v>-93.41</v>
      </c>
      <c r="J877" t="s">
        <v>23</v>
      </c>
      <c r="K877" s="3">
        <v>45568</v>
      </c>
      <c r="L877" t="s">
        <v>50</v>
      </c>
      <c r="M877" t="s">
        <v>576</v>
      </c>
      <c r="N877" s="6">
        <f>IF(Tabela5[[#This Row],[Dim_Cenario'[Nome Cenario']]]=Tabela5[[#Headers],[INIC Atual]],Tabela5[[#This Row],['[Valores_cenario']]],0)</f>
        <v>0</v>
      </c>
      <c r="O877" s="6">
        <f>IF(Tabela5[[#This Row],[Dim_Cenario'[Nome Cenario']]]=Tabela5[[#Headers],[Revisado]],Tabela5[[#This Row],['[Valores_cenario']]],0)</f>
        <v>0</v>
      </c>
      <c r="P877" s="6">
        <f>IF(Tabela5[[#This Row],[Dim_Cenario'[Nome Cenario']]]=Tabela5[[#Headers],[Realizado]],Tabela5[[#This Row],['[Valores_cenario']]],0)</f>
        <v>-93.41</v>
      </c>
    </row>
    <row r="878" hidden="1" spans="1:16">
      <c r="A878" t="s">
        <v>97</v>
      </c>
      <c r="B878" t="s">
        <v>18</v>
      </c>
      <c r="C878" t="s">
        <v>98</v>
      </c>
      <c r="D878" t="s">
        <v>15</v>
      </c>
      <c r="E878">
        <v>2024</v>
      </c>
      <c r="F878" t="s">
        <v>21</v>
      </c>
      <c r="G878" t="s">
        <v>22</v>
      </c>
      <c r="H878">
        <v>10</v>
      </c>
      <c r="I878">
        <v>430</v>
      </c>
      <c r="J878" t="s">
        <v>23</v>
      </c>
      <c r="K878" s="3">
        <v>45587</v>
      </c>
      <c r="L878" t="s">
        <v>577</v>
      </c>
      <c r="M878" t="s">
        <v>578</v>
      </c>
      <c r="N878" s="6">
        <f>IF(Tabela5[[#This Row],[Dim_Cenario'[Nome Cenario']]]=Tabela5[[#Headers],[INIC Atual]],Tabela5[[#This Row],['[Valores_cenario']]],0)</f>
        <v>0</v>
      </c>
      <c r="O878" s="6">
        <f>IF(Tabela5[[#This Row],[Dim_Cenario'[Nome Cenario']]]=Tabela5[[#Headers],[Revisado]],Tabela5[[#This Row],['[Valores_cenario']]],0)</f>
        <v>0</v>
      </c>
      <c r="P878" s="6">
        <f>IF(Tabela5[[#This Row],[Dim_Cenario'[Nome Cenario']]]=Tabela5[[#Headers],[Realizado]],Tabela5[[#This Row],['[Valores_cenario']]],0)</f>
        <v>430</v>
      </c>
    </row>
    <row r="879" hidden="1" spans="1:16">
      <c r="A879" t="s">
        <v>17</v>
      </c>
      <c r="B879" t="s">
        <v>18</v>
      </c>
      <c r="C879" t="s">
        <v>37</v>
      </c>
      <c r="D879" t="s">
        <v>20</v>
      </c>
      <c r="E879">
        <v>2026</v>
      </c>
      <c r="F879" t="s">
        <v>27</v>
      </c>
      <c r="G879" t="s">
        <v>39</v>
      </c>
      <c r="H879">
        <v>5</v>
      </c>
      <c r="I879">
        <v>32323.34</v>
      </c>
      <c r="J879" t="s">
        <v>33</v>
      </c>
      <c r="K879" s="3"/>
      <c r="N879" s="6">
        <f>IF(Tabela5[[#This Row],[Dim_Cenario'[Nome Cenario']]]=Tabela5[[#Headers],[INIC Atual]],Tabela5[[#This Row],['[Valores_cenario']]],0)</f>
        <v>32323.34</v>
      </c>
      <c r="O879" s="6">
        <f>IF(Tabela5[[#This Row],[Dim_Cenario'[Nome Cenario']]]=Tabela5[[#Headers],[Revisado]],Tabela5[[#This Row],['[Valores_cenario']]],0)</f>
        <v>0</v>
      </c>
      <c r="P879" s="6">
        <f>IF(Tabela5[[#This Row],[Dim_Cenario'[Nome Cenario']]]=Tabela5[[#Headers],[Realizado]],Tabela5[[#This Row],['[Valores_cenario']]],0)</f>
        <v>0</v>
      </c>
    </row>
    <row r="880" hidden="1" spans="1:16">
      <c r="A880" t="s">
        <v>17</v>
      </c>
      <c r="B880" t="s">
        <v>18</v>
      </c>
      <c r="C880" t="s">
        <v>37</v>
      </c>
      <c r="D880" t="s">
        <v>20</v>
      </c>
      <c r="E880">
        <v>2026</v>
      </c>
      <c r="F880" t="s">
        <v>27</v>
      </c>
      <c r="G880" t="s">
        <v>29</v>
      </c>
      <c r="H880">
        <v>6</v>
      </c>
      <c r="I880">
        <v>32323.34</v>
      </c>
      <c r="J880" t="s">
        <v>33</v>
      </c>
      <c r="K880" s="3"/>
      <c r="N880" s="6">
        <f>IF(Tabela5[[#This Row],[Dim_Cenario'[Nome Cenario']]]=Tabela5[[#Headers],[INIC Atual]],Tabela5[[#This Row],['[Valores_cenario']]],0)</f>
        <v>32323.34</v>
      </c>
      <c r="O880" s="6">
        <f>IF(Tabela5[[#This Row],[Dim_Cenario'[Nome Cenario']]]=Tabela5[[#Headers],[Revisado]],Tabela5[[#This Row],['[Valores_cenario']]],0)</f>
        <v>0</v>
      </c>
      <c r="P880" s="6">
        <f>IF(Tabela5[[#This Row],[Dim_Cenario'[Nome Cenario']]]=Tabela5[[#Headers],[Realizado]],Tabela5[[#This Row],['[Valores_cenario']]],0)</f>
        <v>0</v>
      </c>
    </row>
    <row r="881" hidden="1" spans="1:16">
      <c r="A881" t="s">
        <v>97</v>
      </c>
      <c r="B881" t="s">
        <v>18</v>
      </c>
      <c r="C881" t="s">
        <v>98</v>
      </c>
      <c r="D881" t="s">
        <v>15</v>
      </c>
      <c r="E881">
        <v>2024</v>
      </c>
      <c r="F881" t="s">
        <v>21</v>
      </c>
      <c r="G881" t="s">
        <v>22</v>
      </c>
      <c r="H881">
        <v>10</v>
      </c>
      <c r="I881">
        <v>93.41</v>
      </c>
      <c r="J881" t="s">
        <v>23</v>
      </c>
      <c r="K881" s="3">
        <v>45596</v>
      </c>
      <c r="L881" t="s">
        <v>50</v>
      </c>
      <c r="M881" t="s">
        <v>579</v>
      </c>
      <c r="N881" s="6">
        <f>IF(Tabela5[[#This Row],[Dim_Cenario'[Nome Cenario']]]=Tabela5[[#Headers],[INIC Atual]],Tabela5[[#This Row],['[Valores_cenario']]],0)</f>
        <v>0</v>
      </c>
      <c r="O881" s="6">
        <f>IF(Tabela5[[#This Row],[Dim_Cenario'[Nome Cenario']]]=Tabela5[[#Headers],[Revisado]],Tabela5[[#This Row],['[Valores_cenario']]],0)</f>
        <v>0</v>
      </c>
      <c r="P881" s="6">
        <f>IF(Tabela5[[#This Row],[Dim_Cenario'[Nome Cenario']]]=Tabela5[[#Headers],[Realizado]],Tabela5[[#This Row],['[Valores_cenario']]],0)</f>
        <v>93.41</v>
      </c>
    </row>
    <row r="882" hidden="1" spans="1:16">
      <c r="A882" t="s">
        <v>17</v>
      </c>
      <c r="B882" t="s">
        <v>18</v>
      </c>
      <c r="C882" t="s">
        <v>37</v>
      </c>
      <c r="D882" t="s">
        <v>20</v>
      </c>
      <c r="E882">
        <v>2026</v>
      </c>
      <c r="F882" t="s">
        <v>30</v>
      </c>
      <c r="G882" t="s">
        <v>40</v>
      </c>
      <c r="H882">
        <v>7</v>
      </c>
      <c r="I882">
        <v>70105.34</v>
      </c>
      <c r="J882" t="s">
        <v>33</v>
      </c>
      <c r="K882" s="3"/>
      <c r="N882" s="6">
        <f>IF(Tabela5[[#This Row],[Dim_Cenario'[Nome Cenario']]]=Tabela5[[#Headers],[INIC Atual]],Tabela5[[#This Row],['[Valores_cenario']]],0)</f>
        <v>70105.34</v>
      </c>
      <c r="O882" s="6">
        <f>IF(Tabela5[[#This Row],[Dim_Cenario'[Nome Cenario']]]=Tabela5[[#Headers],[Revisado]],Tabela5[[#This Row],['[Valores_cenario']]],0)</f>
        <v>0</v>
      </c>
      <c r="P882" s="6">
        <f>IF(Tabela5[[#This Row],[Dim_Cenario'[Nome Cenario']]]=Tabela5[[#Headers],[Realizado]],Tabela5[[#This Row],['[Valores_cenario']]],0)</f>
        <v>0</v>
      </c>
    </row>
    <row r="883" hidden="1" spans="1:16">
      <c r="A883" t="s">
        <v>97</v>
      </c>
      <c r="B883" t="s">
        <v>18</v>
      </c>
      <c r="C883" t="s">
        <v>98</v>
      </c>
      <c r="D883" t="s">
        <v>15</v>
      </c>
      <c r="E883">
        <v>2024</v>
      </c>
      <c r="F883" t="s">
        <v>21</v>
      </c>
      <c r="G883" t="s">
        <v>24</v>
      </c>
      <c r="H883">
        <v>11</v>
      </c>
      <c r="I883">
        <v>-93.41</v>
      </c>
      <c r="J883" t="s">
        <v>23</v>
      </c>
      <c r="K883" s="3">
        <v>45603</v>
      </c>
      <c r="L883" t="s">
        <v>50</v>
      </c>
      <c r="M883" t="s">
        <v>579</v>
      </c>
      <c r="N883" s="6">
        <f>IF(Tabela5[[#This Row],[Dim_Cenario'[Nome Cenario']]]=Tabela5[[#Headers],[INIC Atual]],Tabela5[[#This Row],['[Valores_cenario']]],0)</f>
        <v>0</v>
      </c>
      <c r="O883" s="6">
        <f>IF(Tabela5[[#This Row],[Dim_Cenario'[Nome Cenario']]]=Tabela5[[#Headers],[Revisado]],Tabela5[[#This Row],['[Valores_cenario']]],0)</f>
        <v>0</v>
      </c>
      <c r="P883" s="6">
        <f>IF(Tabela5[[#This Row],[Dim_Cenario'[Nome Cenario']]]=Tabela5[[#Headers],[Realizado]],Tabela5[[#This Row],['[Valores_cenario']]],0)</f>
        <v>-93.41</v>
      </c>
    </row>
    <row r="884" hidden="1" spans="1:16">
      <c r="A884" t="s">
        <v>17</v>
      </c>
      <c r="B884" t="s">
        <v>18</v>
      </c>
      <c r="C884" t="s">
        <v>37</v>
      </c>
      <c r="D884" t="s">
        <v>20</v>
      </c>
      <c r="E884">
        <v>2026</v>
      </c>
      <c r="F884" t="s">
        <v>30</v>
      </c>
      <c r="G884" t="s">
        <v>31</v>
      </c>
      <c r="H884">
        <v>8</v>
      </c>
      <c r="I884">
        <v>32323.34</v>
      </c>
      <c r="J884" t="s">
        <v>33</v>
      </c>
      <c r="K884" s="3"/>
      <c r="N884" s="6">
        <f>IF(Tabela5[[#This Row],[Dim_Cenario'[Nome Cenario']]]=Tabela5[[#Headers],[INIC Atual]],Tabela5[[#This Row],['[Valores_cenario']]],0)</f>
        <v>32323.34</v>
      </c>
      <c r="O884" s="6">
        <f>IF(Tabela5[[#This Row],[Dim_Cenario'[Nome Cenario']]]=Tabela5[[#Headers],[Revisado]],Tabela5[[#This Row],['[Valores_cenario']]],0)</f>
        <v>0</v>
      </c>
      <c r="P884" s="6">
        <f>IF(Tabela5[[#This Row],[Dim_Cenario'[Nome Cenario']]]=Tabela5[[#Headers],[Realizado]],Tabela5[[#This Row],['[Valores_cenario']]],0)</f>
        <v>0</v>
      </c>
    </row>
    <row r="885" hidden="1" spans="1:16">
      <c r="A885" t="s">
        <v>17</v>
      </c>
      <c r="B885" t="s">
        <v>18</v>
      </c>
      <c r="C885" t="s">
        <v>37</v>
      </c>
      <c r="D885" t="s">
        <v>20</v>
      </c>
      <c r="E885">
        <v>2026</v>
      </c>
      <c r="F885" t="s">
        <v>30</v>
      </c>
      <c r="G885" t="s">
        <v>41</v>
      </c>
      <c r="H885">
        <v>9</v>
      </c>
      <c r="I885">
        <v>32323.34</v>
      </c>
      <c r="J885" t="s">
        <v>33</v>
      </c>
      <c r="K885" s="3"/>
      <c r="N885" s="6">
        <f>IF(Tabela5[[#This Row],[Dim_Cenario'[Nome Cenario']]]=Tabela5[[#Headers],[INIC Atual]],Tabela5[[#This Row],['[Valores_cenario']]],0)</f>
        <v>32323.34</v>
      </c>
      <c r="O885" s="6">
        <f>IF(Tabela5[[#This Row],[Dim_Cenario'[Nome Cenario']]]=Tabela5[[#Headers],[Revisado]],Tabela5[[#This Row],['[Valores_cenario']]],0)</f>
        <v>0</v>
      </c>
      <c r="P885" s="6">
        <f>IF(Tabela5[[#This Row],[Dim_Cenario'[Nome Cenario']]]=Tabela5[[#Headers],[Realizado]],Tabela5[[#This Row],['[Valores_cenario']]],0)</f>
        <v>0</v>
      </c>
    </row>
    <row r="886" hidden="1" spans="1:16">
      <c r="A886" t="s">
        <v>17</v>
      </c>
      <c r="B886" t="s">
        <v>18</v>
      </c>
      <c r="C886" t="s">
        <v>19</v>
      </c>
      <c r="D886" t="s">
        <v>15</v>
      </c>
      <c r="E886">
        <v>2024</v>
      </c>
      <c r="F886" t="s">
        <v>21</v>
      </c>
      <c r="G886" t="s">
        <v>24</v>
      </c>
      <c r="H886">
        <v>11</v>
      </c>
      <c r="I886">
        <v>23000</v>
      </c>
      <c r="J886" t="s">
        <v>23</v>
      </c>
      <c r="K886" s="3">
        <v>45625</v>
      </c>
      <c r="L886" t="s">
        <v>580</v>
      </c>
      <c r="M886" t="s">
        <v>581</v>
      </c>
      <c r="N886" s="6">
        <f>IF(Tabela5[[#This Row],[Dim_Cenario'[Nome Cenario']]]=Tabela5[[#Headers],[INIC Atual]],Tabela5[[#This Row],['[Valores_cenario']]],0)</f>
        <v>0</v>
      </c>
      <c r="O886" s="6">
        <f>IF(Tabela5[[#This Row],[Dim_Cenario'[Nome Cenario']]]=Tabela5[[#Headers],[Revisado]],Tabela5[[#This Row],['[Valores_cenario']]],0)</f>
        <v>0</v>
      </c>
      <c r="P886" s="6">
        <f>IF(Tabela5[[#This Row],[Dim_Cenario'[Nome Cenario']]]=Tabela5[[#Headers],[Realizado]],Tabela5[[#This Row],['[Valores_cenario']]],0)</f>
        <v>23000</v>
      </c>
    </row>
    <row r="887" hidden="1" spans="1:16">
      <c r="A887" t="s">
        <v>97</v>
      </c>
      <c r="B887" t="s">
        <v>18</v>
      </c>
      <c r="C887" t="s">
        <v>98</v>
      </c>
      <c r="D887" t="s">
        <v>15</v>
      </c>
      <c r="E887">
        <v>2024</v>
      </c>
      <c r="F887" t="s">
        <v>21</v>
      </c>
      <c r="G887" t="s">
        <v>24</v>
      </c>
      <c r="H887">
        <v>11</v>
      </c>
      <c r="I887">
        <v>93.41</v>
      </c>
      <c r="J887" t="s">
        <v>23</v>
      </c>
      <c r="K887" s="3">
        <v>45626</v>
      </c>
      <c r="L887" t="s">
        <v>50</v>
      </c>
      <c r="M887" t="s">
        <v>582</v>
      </c>
      <c r="N887" s="6">
        <f>IF(Tabela5[[#This Row],[Dim_Cenario'[Nome Cenario']]]=Tabela5[[#Headers],[INIC Atual]],Tabela5[[#This Row],['[Valores_cenario']]],0)</f>
        <v>0</v>
      </c>
      <c r="O887" s="6">
        <f>IF(Tabela5[[#This Row],[Dim_Cenario'[Nome Cenario']]]=Tabela5[[#Headers],[Revisado]],Tabela5[[#This Row],['[Valores_cenario']]],0)</f>
        <v>0</v>
      </c>
      <c r="P887" s="6">
        <f>IF(Tabela5[[#This Row],[Dim_Cenario'[Nome Cenario']]]=Tabela5[[#Headers],[Realizado]],Tabela5[[#This Row],['[Valores_cenario']]],0)</f>
        <v>93.41</v>
      </c>
    </row>
    <row r="888" hidden="1" spans="1:16">
      <c r="A888" t="s">
        <v>17</v>
      </c>
      <c r="B888" t="s">
        <v>18</v>
      </c>
      <c r="C888" t="s">
        <v>37</v>
      </c>
      <c r="D888" t="s">
        <v>20</v>
      </c>
      <c r="E888">
        <v>2026</v>
      </c>
      <c r="F888" t="s">
        <v>21</v>
      </c>
      <c r="G888" t="s">
        <v>22</v>
      </c>
      <c r="H888">
        <v>10</v>
      </c>
      <c r="I888">
        <v>32323.34</v>
      </c>
      <c r="J888" t="s">
        <v>33</v>
      </c>
      <c r="K888" s="3"/>
      <c r="N888" s="6">
        <f>IF(Tabela5[[#This Row],[Dim_Cenario'[Nome Cenario']]]=Tabela5[[#Headers],[INIC Atual]],Tabela5[[#This Row],['[Valores_cenario']]],0)</f>
        <v>32323.34</v>
      </c>
      <c r="O888" s="6">
        <f>IF(Tabela5[[#This Row],[Dim_Cenario'[Nome Cenario']]]=Tabela5[[#Headers],[Revisado]],Tabela5[[#This Row],['[Valores_cenario']]],0)</f>
        <v>0</v>
      </c>
      <c r="P888" s="6">
        <f>IF(Tabela5[[#This Row],[Dim_Cenario'[Nome Cenario']]]=Tabela5[[#Headers],[Realizado]],Tabela5[[#This Row],['[Valores_cenario']]],0)</f>
        <v>0</v>
      </c>
    </row>
    <row r="889" hidden="1" spans="1:16">
      <c r="A889" t="s">
        <v>97</v>
      </c>
      <c r="B889" t="s">
        <v>18</v>
      </c>
      <c r="C889" t="s">
        <v>98</v>
      </c>
      <c r="D889" t="s">
        <v>15</v>
      </c>
      <c r="E889">
        <v>2024</v>
      </c>
      <c r="F889" t="s">
        <v>21</v>
      </c>
      <c r="G889" t="s">
        <v>32</v>
      </c>
      <c r="H889">
        <v>12</v>
      </c>
      <c r="I889">
        <v>-93.41</v>
      </c>
      <c r="J889" t="s">
        <v>23</v>
      </c>
      <c r="K889" s="3">
        <v>45630</v>
      </c>
      <c r="L889" t="s">
        <v>50</v>
      </c>
      <c r="M889" t="s">
        <v>582</v>
      </c>
      <c r="N889" s="6">
        <f>IF(Tabela5[[#This Row],[Dim_Cenario'[Nome Cenario']]]=Tabela5[[#Headers],[INIC Atual]],Tabela5[[#This Row],['[Valores_cenario']]],0)</f>
        <v>0</v>
      </c>
      <c r="O889" s="6">
        <f>IF(Tabela5[[#This Row],[Dim_Cenario'[Nome Cenario']]]=Tabela5[[#Headers],[Revisado]],Tabela5[[#This Row],['[Valores_cenario']]],0)</f>
        <v>0</v>
      </c>
      <c r="P889" s="6">
        <f>IF(Tabela5[[#This Row],[Dim_Cenario'[Nome Cenario']]]=Tabela5[[#Headers],[Realizado]],Tabela5[[#This Row],['[Valores_cenario']]],0)</f>
        <v>-93.41</v>
      </c>
    </row>
    <row r="890" hidden="1" spans="1:16">
      <c r="A890" t="s">
        <v>17</v>
      </c>
      <c r="B890" t="s">
        <v>18</v>
      </c>
      <c r="C890" t="s">
        <v>19</v>
      </c>
      <c r="D890" t="s">
        <v>15</v>
      </c>
      <c r="E890">
        <v>2024</v>
      </c>
      <c r="F890" t="s">
        <v>21</v>
      </c>
      <c r="G890" t="s">
        <v>32</v>
      </c>
      <c r="H890">
        <v>12</v>
      </c>
      <c r="I890">
        <v>89450</v>
      </c>
      <c r="J890" t="s">
        <v>23</v>
      </c>
      <c r="K890" s="3">
        <v>45649</v>
      </c>
      <c r="L890" t="s">
        <v>583</v>
      </c>
      <c r="M890" t="s">
        <v>584</v>
      </c>
      <c r="N890" s="6">
        <f>IF(Tabela5[[#This Row],[Dim_Cenario'[Nome Cenario']]]=Tabela5[[#Headers],[INIC Atual]],Tabela5[[#This Row],['[Valores_cenario']]],0)</f>
        <v>0</v>
      </c>
      <c r="O890" s="6">
        <f>IF(Tabela5[[#This Row],[Dim_Cenario'[Nome Cenario']]]=Tabela5[[#Headers],[Revisado]],Tabela5[[#This Row],['[Valores_cenario']]],0)</f>
        <v>0</v>
      </c>
      <c r="P890" s="6">
        <f>IF(Tabela5[[#This Row],[Dim_Cenario'[Nome Cenario']]]=Tabela5[[#Headers],[Realizado]],Tabela5[[#This Row],['[Valores_cenario']]],0)</f>
        <v>89450</v>
      </c>
    </row>
    <row r="891" hidden="1" spans="1:16">
      <c r="A891" t="s">
        <v>97</v>
      </c>
      <c r="B891" t="s">
        <v>18</v>
      </c>
      <c r="C891" t="s">
        <v>98</v>
      </c>
      <c r="D891" t="s">
        <v>15</v>
      </c>
      <c r="E891">
        <v>2024</v>
      </c>
      <c r="F891" t="s">
        <v>21</v>
      </c>
      <c r="G891" t="s">
        <v>32</v>
      </c>
      <c r="H891">
        <v>12</v>
      </c>
      <c r="I891">
        <v>93.41</v>
      </c>
      <c r="J891" t="s">
        <v>23</v>
      </c>
      <c r="K891" s="3">
        <v>45657</v>
      </c>
      <c r="L891" t="s">
        <v>50</v>
      </c>
      <c r="M891" t="s">
        <v>585</v>
      </c>
      <c r="N891" s="6">
        <f>IF(Tabela5[[#This Row],[Dim_Cenario'[Nome Cenario']]]=Tabela5[[#Headers],[INIC Atual]],Tabela5[[#This Row],['[Valores_cenario']]],0)</f>
        <v>0</v>
      </c>
      <c r="O891" s="6">
        <f>IF(Tabela5[[#This Row],[Dim_Cenario'[Nome Cenario']]]=Tabela5[[#Headers],[Revisado]],Tabela5[[#This Row],['[Valores_cenario']]],0)</f>
        <v>0</v>
      </c>
      <c r="P891" s="6">
        <f>IF(Tabela5[[#This Row],[Dim_Cenario'[Nome Cenario']]]=Tabela5[[#Headers],[Realizado]],Tabela5[[#This Row],['[Valores_cenario']]],0)</f>
        <v>93.41</v>
      </c>
    </row>
    <row r="892" hidden="1" spans="1:16">
      <c r="A892" t="s">
        <v>17</v>
      </c>
      <c r="B892" t="s">
        <v>18</v>
      </c>
      <c r="C892" t="s">
        <v>96</v>
      </c>
      <c r="D892" t="s">
        <v>15</v>
      </c>
      <c r="E892">
        <v>2024</v>
      </c>
      <c r="F892" t="s">
        <v>21</v>
      </c>
      <c r="G892" t="s">
        <v>32</v>
      </c>
      <c r="H892">
        <v>12</v>
      </c>
      <c r="I892">
        <v>107288.63</v>
      </c>
      <c r="J892" t="s">
        <v>23</v>
      </c>
      <c r="K892" s="3">
        <v>45657</v>
      </c>
      <c r="L892" t="s">
        <v>50</v>
      </c>
      <c r="M892" t="s">
        <v>586</v>
      </c>
      <c r="N892" s="6">
        <f>IF(Tabela5[[#This Row],[Dim_Cenario'[Nome Cenario']]]=Tabela5[[#Headers],[INIC Atual]],Tabela5[[#This Row],['[Valores_cenario']]],0)</f>
        <v>0</v>
      </c>
      <c r="O892" s="6">
        <f>IF(Tabela5[[#This Row],[Dim_Cenario'[Nome Cenario']]]=Tabela5[[#Headers],[Revisado]],Tabela5[[#This Row],['[Valores_cenario']]],0)</f>
        <v>0</v>
      </c>
      <c r="P892" s="6">
        <f>IF(Tabela5[[#This Row],[Dim_Cenario'[Nome Cenario']]]=Tabela5[[#Headers],[Realizado]],Tabela5[[#This Row],['[Valores_cenario']]],0)</f>
        <v>107288.63</v>
      </c>
    </row>
    <row r="893" hidden="1" spans="1:16">
      <c r="A893" t="s">
        <v>97</v>
      </c>
      <c r="B893" t="s">
        <v>18</v>
      </c>
      <c r="C893" t="s">
        <v>98</v>
      </c>
      <c r="D893" t="s">
        <v>15</v>
      </c>
      <c r="E893">
        <v>2025</v>
      </c>
      <c r="F893" t="s">
        <v>25</v>
      </c>
      <c r="G893" t="s">
        <v>35</v>
      </c>
      <c r="H893">
        <v>1</v>
      </c>
      <c r="I893">
        <v>-93.41</v>
      </c>
      <c r="J893" t="s">
        <v>33</v>
      </c>
      <c r="K893" s="3">
        <v>45670</v>
      </c>
      <c r="L893" t="s">
        <v>50</v>
      </c>
      <c r="M893" t="s">
        <v>585</v>
      </c>
      <c r="N893" s="6">
        <f>IF(Tabela5[[#This Row],[Dim_Cenario'[Nome Cenario']]]=Tabela5[[#Headers],[INIC Atual]],Tabela5[[#This Row],['[Valores_cenario']]],0)</f>
        <v>0</v>
      </c>
      <c r="O893" s="6">
        <f>IF(Tabela5[[#This Row],[Dim_Cenario'[Nome Cenario']]]=Tabela5[[#Headers],[Revisado]],Tabela5[[#This Row],['[Valores_cenario']]],0)</f>
        <v>0</v>
      </c>
      <c r="P893" s="6">
        <f>IF(Tabela5[[#This Row],[Dim_Cenario'[Nome Cenario']]]=Tabela5[[#Headers],[Realizado]],Tabela5[[#This Row],['[Valores_cenario']]],0)</f>
        <v>-93.41</v>
      </c>
    </row>
    <row r="894" hidden="1" spans="1:16">
      <c r="A894" t="s">
        <v>17</v>
      </c>
      <c r="B894" t="s">
        <v>18</v>
      </c>
      <c r="C894" t="s">
        <v>96</v>
      </c>
      <c r="D894" t="s">
        <v>15</v>
      </c>
      <c r="E894">
        <v>2025</v>
      </c>
      <c r="F894" t="s">
        <v>25</v>
      </c>
      <c r="G894" t="s">
        <v>35</v>
      </c>
      <c r="H894">
        <v>1</v>
      </c>
      <c r="I894">
        <v>-107288.63</v>
      </c>
      <c r="J894" t="s">
        <v>33</v>
      </c>
      <c r="K894" s="3">
        <v>45670</v>
      </c>
      <c r="L894" t="s">
        <v>50</v>
      </c>
      <c r="M894" t="s">
        <v>586</v>
      </c>
      <c r="N894" s="6">
        <f>IF(Tabela5[[#This Row],[Dim_Cenario'[Nome Cenario']]]=Tabela5[[#Headers],[INIC Atual]],Tabela5[[#This Row],['[Valores_cenario']]],0)</f>
        <v>0</v>
      </c>
      <c r="O894" s="6">
        <f>IF(Tabela5[[#This Row],[Dim_Cenario'[Nome Cenario']]]=Tabela5[[#Headers],[Revisado]],Tabela5[[#This Row],['[Valores_cenario']]],0)</f>
        <v>0</v>
      </c>
      <c r="P894" s="6">
        <f>IF(Tabela5[[#This Row],[Dim_Cenario'[Nome Cenario']]]=Tabela5[[#Headers],[Realizado]],Tabela5[[#This Row],['[Valores_cenario']]],0)</f>
        <v>-107288.63</v>
      </c>
    </row>
    <row r="895" hidden="1" spans="1:16">
      <c r="A895" t="s">
        <v>17</v>
      </c>
      <c r="B895" t="s">
        <v>18</v>
      </c>
      <c r="C895" t="s">
        <v>96</v>
      </c>
      <c r="D895" t="s">
        <v>15</v>
      </c>
      <c r="E895">
        <v>2025</v>
      </c>
      <c r="F895" t="s">
        <v>25</v>
      </c>
      <c r="G895" t="s">
        <v>35</v>
      </c>
      <c r="H895">
        <v>1</v>
      </c>
      <c r="I895">
        <v>100000</v>
      </c>
      <c r="J895" t="s">
        <v>33</v>
      </c>
      <c r="K895" s="3">
        <v>45681</v>
      </c>
      <c r="L895" t="s">
        <v>587</v>
      </c>
      <c r="M895" t="s">
        <v>588</v>
      </c>
      <c r="N895" s="6">
        <f>IF(Tabela5[[#This Row],[Dim_Cenario'[Nome Cenario']]]=Tabela5[[#Headers],[INIC Atual]],Tabela5[[#This Row],['[Valores_cenario']]],0)</f>
        <v>0</v>
      </c>
      <c r="O895" s="6">
        <f>IF(Tabela5[[#This Row],[Dim_Cenario'[Nome Cenario']]]=Tabela5[[#Headers],[Revisado]],Tabela5[[#This Row],['[Valores_cenario']]],0)</f>
        <v>0</v>
      </c>
      <c r="P895" s="6">
        <f>IF(Tabela5[[#This Row],[Dim_Cenario'[Nome Cenario']]]=Tabela5[[#Headers],[Realizado]],Tabela5[[#This Row],['[Valores_cenario']]],0)</f>
        <v>100000</v>
      </c>
    </row>
    <row r="896" hidden="1" spans="1:16">
      <c r="A896" t="s">
        <v>97</v>
      </c>
      <c r="B896" t="s">
        <v>18</v>
      </c>
      <c r="C896" t="s">
        <v>98</v>
      </c>
      <c r="D896" t="s">
        <v>15</v>
      </c>
      <c r="E896">
        <v>2025</v>
      </c>
      <c r="F896" t="s">
        <v>25</v>
      </c>
      <c r="G896" t="s">
        <v>35</v>
      </c>
      <c r="H896">
        <v>1</v>
      </c>
      <c r="I896">
        <v>93.41</v>
      </c>
      <c r="J896" t="s">
        <v>33</v>
      </c>
      <c r="K896" s="3">
        <v>45688</v>
      </c>
      <c r="L896" t="s">
        <v>50</v>
      </c>
      <c r="M896" t="s">
        <v>589</v>
      </c>
      <c r="N896" s="6">
        <f>IF(Tabela5[[#This Row],[Dim_Cenario'[Nome Cenario']]]=Tabela5[[#Headers],[INIC Atual]],Tabela5[[#This Row],['[Valores_cenario']]],0)</f>
        <v>0</v>
      </c>
      <c r="O896" s="6">
        <f>IF(Tabela5[[#This Row],[Dim_Cenario'[Nome Cenario']]]=Tabela5[[#Headers],[Revisado]],Tabela5[[#This Row],['[Valores_cenario']]],0)</f>
        <v>0</v>
      </c>
      <c r="P896" s="6">
        <f>IF(Tabela5[[#This Row],[Dim_Cenario'[Nome Cenario']]]=Tabela5[[#Headers],[Realizado]],Tabela5[[#This Row],['[Valores_cenario']]],0)</f>
        <v>93.41</v>
      </c>
    </row>
    <row r="897" hidden="1" spans="1:16">
      <c r="A897" t="s">
        <v>97</v>
      </c>
      <c r="B897" t="s">
        <v>18</v>
      </c>
      <c r="C897" t="s">
        <v>98</v>
      </c>
      <c r="D897" t="s">
        <v>15</v>
      </c>
      <c r="E897">
        <v>2025</v>
      </c>
      <c r="F897" t="s">
        <v>25</v>
      </c>
      <c r="G897" t="s">
        <v>26</v>
      </c>
      <c r="H897">
        <v>2</v>
      </c>
      <c r="I897">
        <v>-93.41</v>
      </c>
      <c r="J897" t="s">
        <v>33</v>
      </c>
      <c r="K897" s="3">
        <v>45705</v>
      </c>
      <c r="L897" t="s">
        <v>50</v>
      </c>
      <c r="M897" t="s">
        <v>589</v>
      </c>
      <c r="N897" s="6">
        <f>IF(Tabela5[[#This Row],[Dim_Cenario'[Nome Cenario']]]=Tabela5[[#Headers],[INIC Atual]],Tabela5[[#This Row],['[Valores_cenario']]],0)</f>
        <v>0</v>
      </c>
      <c r="O897" s="6">
        <f>IF(Tabela5[[#This Row],[Dim_Cenario'[Nome Cenario']]]=Tabela5[[#Headers],[Revisado]],Tabela5[[#This Row],['[Valores_cenario']]],0)</f>
        <v>0</v>
      </c>
      <c r="P897" s="6">
        <f>IF(Tabela5[[#This Row],[Dim_Cenario'[Nome Cenario']]]=Tabela5[[#Headers],[Realizado]],Tabela5[[#This Row],['[Valores_cenario']]],0)</f>
        <v>-93.41</v>
      </c>
    </row>
    <row r="898" hidden="1" spans="1:16">
      <c r="A898" t="s">
        <v>17</v>
      </c>
      <c r="B898" t="s">
        <v>18</v>
      </c>
      <c r="C898" t="s">
        <v>96</v>
      </c>
      <c r="D898" t="s">
        <v>15</v>
      </c>
      <c r="E898">
        <v>2025</v>
      </c>
      <c r="F898" t="s">
        <v>25</v>
      </c>
      <c r="G898" t="s">
        <v>26</v>
      </c>
      <c r="H898">
        <v>2</v>
      </c>
      <c r="I898">
        <v>67930.03</v>
      </c>
      <c r="J898" t="s">
        <v>33</v>
      </c>
      <c r="K898" s="3">
        <v>45705</v>
      </c>
      <c r="L898" t="s">
        <v>590</v>
      </c>
      <c r="M898" t="s">
        <v>591</v>
      </c>
      <c r="N898" s="6">
        <f>IF(Tabela5[[#This Row],[Dim_Cenario'[Nome Cenario']]]=Tabela5[[#Headers],[INIC Atual]],Tabela5[[#This Row],['[Valores_cenario']]],0)</f>
        <v>0</v>
      </c>
      <c r="O898" s="6">
        <f>IF(Tabela5[[#This Row],[Dim_Cenario'[Nome Cenario']]]=Tabela5[[#Headers],[Revisado]],Tabela5[[#This Row],['[Valores_cenario']]],0)</f>
        <v>0</v>
      </c>
      <c r="P898" s="6">
        <f>IF(Tabela5[[#This Row],[Dim_Cenario'[Nome Cenario']]]=Tabela5[[#Headers],[Realizado]],Tabela5[[#This Row],['[Valores_cenario']]],0)</f>
        <v>67930.03</v>
      </c>
    </row>
    <row r="899" hidden="1" spans="1:16">
      <c r="A899" t="s">
        <v>17</v>
      </c>
      <c r="B899" t="s">
        <v>18</v>
      </c>
      <c r="C899" t="s">
        <v>37</v>
      </c>
      <c r="D899" t="s">
        <v>20</v>
      </c>
      <c r="E899">
        <v>2026</v>
      </c>
      <c r="F899" t="s">
        <v>21</v>
      </c>
      <c r="G899" t="s">
        <v>24</v>
      </c>
      <c r="H899">
        <v>11</v>
      </c>
      <c r="I899">
        <v>32323.34</v>
      </c>
      <c r="J899" t="s">
        <v>33</v>
      </c>
      <c r="K899" s="3"/>
      <c r="N899" s="6">
        <f>IF(Tabela5[[#This Row],[Dim_Cenario'[Nome Cenario']]]=Tabela5[[#Headers],[INIC Atual]],Tabela5[[#This Row],['[Valores_cenario']]],0)</f>
        <v>32323.34</v>
      </c>
      <c r="O899" s="6">
        <f>IF(Tabela5[[#This Row],[Dim_Cenario'[Nome Cenario']]]=Tabela5[[#Headers],[Revisado]],Tabela5[[#This Row],['[Valores_cenario']]],0)</f>
        <v>0</v>
      </c>
      <c r="P899" s="6">
        <f>IF(Tabela5[[#This Row],[Dim_Cenario'[Nome Cenario']]]=Tabela5[[#Headers],[Realizado]],Tabela5[[#This Row],['[Valores_cenario']]],0)</f>
        <v>0</v>
      </c>
    </row>
    <row r="900" hidden="1" spans="1:16">
      <c r="A900" t="s">
        <v>97</v>
      </c>
      <c r="B900" t="s">
        <v>18</v>
      </c>
      <c r="C900" t="s">
        <v>98</v>
      </c>
      <c r="D900" t="s">
        <v>15</v>
      </c>
      <c r="E900">
        <v>2025</v>
      </c>
      <c r="F900" t="s">
        <v>25</v>
      </c>
      <c r="G900" t="s">
        <v>26</v>
      </c>
      <c r="H900">
        <v>2</v>
      </c>
      <c r="I900">
        <v>93.41</v>
      </c>
      <c r="J900" t="s">
        <v>33</v>
      </c>
      <c r="K900" s="3">
        <v>45716</v>
      </c>
      <c r="L900" t="s">
        <v>50</v>
      </c>
      <c r="M900" t="s">
        <v>592</v>
      </c>
      <c r="N900" s="6">
        <f>IF(Tabela5[[#This Row],[Dim_Cenario'[Nome Cenario']]]=Tabela5[[#Headers],[INIC Atual]],Tabela5[[#This Row],['[Valores_cenario']]],0)</f>
        <v>0</v>
      </c>
      <c r="O900" s="6">
        <f>IF(Tabela5[[#This Row],[Dim_Cenario'[Nome Cenario']]]=Tabela5[[#Headers],[Revisado]],Tabela5[[#This Row],['[Valores_cenario']]],0)</f>
        <v>0</v>
      </c>
      <c r="P900" s="6">
        <f>IF(Tabela5[[#This Row],[Dim_Cenario'[Nome Cenario']]]=Tabela5[[#Headers],[Realizado]],Tabela5[[#This Row],['[Valores_cenario']]],0)</f>
        <v>93.41</v>
      </c>
    </row>
    <row r="901" hidden="1" spans="1:16">
      <c r="A901" t="s">
        <v>97</v>
      </c>
      <c r="B901" t="s">
        <v>18</v>
      </c>
      <c r="C901" t="s">
        <v>98</v>
      </c>
      <c r="D901" t="s">
        <v>15</v>
      </c>
      <c r="E901">
        <v>2025</v>
      </c>
      <c r="F901" t="s">
        <v>25</v>
      </c>
      <c r="G901" t="s">
        <v>38</v>
      </c>
      <c r="H901">
        <v>3</v>
      </c>
      <c r="I901">
        <v>-93.41</v>
      </c>
      <c r="J901" t="s">
        <v>33</v>
      </c>
      <c r="K901" s="3">
        <v>45727</v>
      </c>
      <c r="L901" t="s">
        <v>50</v>
      </c>
      <c r="M901" t="s">
        <v>592</v>
      </c>
      <c r="N901" s="6">
        <f>IF(Tabela5[[#This Row],[Dim_Cenario'[Nome Cenario']]]=Tabela5[[#Headers],[INIC Atual]],Tabela5[[#This Row],['[Valores_cenario']]],0)</f>
        <v>0</v>
      </c>
      <c r="O901" s="6">
        <f>IF(Tabela5[[#This Row],[Dim_Cenario'[Nome Cenario']]]=Tabela5[[#Headers],[Revisado]],Tabela5[[#This Row],['[Valores_cenario']]],0)</f>
        <v>0</v>
      </c>
      <c r="P901" s="6">
        <f>IF(Tabela5[[#This Row],[Dim_Cenario'[Nome Cenario']]]=Tabela5[[#Headers],[Realizado]],Tabela5[[#This Row],['[Valores_cenario']]],0)</f>
        <v>-93.41</v>
      </c>
    </row>
    <row r="902" hidden="1" spans="1:16">
      <c r="A902" t="s">
        <v>17</v>
      </c>
      <c r="B902" t="s">
        <v>18</v>
      </c>
      <c r="C902" t="s">
        <v>19</v>
      </c>
      <c r="D902" t="s">
        <v>15</v>
      </c>
      <c r="E902">
        <v>2025</v>
      </c>
      <c r="F902" t="s">
        <v>25</v>
      </c>
      <c r="G902" t="s">
        <v>38</v>
      </c>
      <c r="H902">
        <v>3</v>
      </c>
      <c r="I902">
        <v>24000</v>
      </c>
      <c r="J902" t="s">
        <v>33</v>
      </c>
      <c r="K902" s="3">
        <v>45729</v>
      </c>
      <c r="L902" t="s">
        <v>593</v>
      </c>
      <c r="M902" t="s">
        <v>594</v>
      </c>
      <c r="N902" s="6">
        <f>IF(Tabela5[[#This Row],[Dim_Cenario'[Nome Cenario']]]=Tabela5[[#Headers],[INIC Atual]],Tabela5[[#This Row],['[Valores_cenario']]],0)</f>
        <v>0</v>
      </c>
      <c r="O902" s="6">
        <f>IF(Tabela5[[#This Row],[Dim_Cenario'[Nome Cenario']]]=Tabela5[[#Headers],[Revisado]],Tabela5[[#This Row],['[Valores_cenario']]],0)</f>
        <v>0</v>
      </c>
      <c r="P902" s="6">
        <f>IF(Tabela5[[#This Row],[Dim_Cenario'[Nome Cenario']]]=Tabela5[[#Headers],[Realizado]],Tabela5[[#This Row],['[Valores_cenario']]],0)</f>
        <v>24000</v>
      </c>
    </row>
    <row r="903" hidden="1" spans="1:16">
      <c r="A903" t="s">
        <v>17</v>
      </c>
      <c r="B903" t="s">
        <v>18</v>
      </c>
      <c r="C903" t="s">
        <v>19</v>
      </c>
      <c r="D903" t="s">
        <v>15</v>
      </c>
      <c r="E903">
        <v>2025</v>
      </c>
      <c r="F903" t="s">
        <v>25</v>
      </c>
      <c r="G903" t="s">
        <v>38</v>
      </c>
      <c r="H903">
        <v>3</v>
      </c>
      <c r="I903">
        <v>29850</v>
      </c>
      <c r="J903" t="s">
        <v>33</v>
      </c>
      <c r="K903" s="3">
        <v>45729</v>
      </c>
      <c r="L903" t="s">
        <v>595</v>
      </c>
      <c r="M903" t="s">
        <v>596</v>
      </c>
      <c r="N903" s="6">
        <f>IF(Tabela5[[#This Row],[Dim_Cenario'[Nome Cenario']]]=Tabela5[[#Headers],[INIC Atual]],Tabela5[[#This Row],['[Valores_cenario']]],0)</f>
        <v>0</v>
      </c>
      <c r="O903" s="6">
        <f>IF(Tabela5[[#This Row],[Dim_Cenario'[Nome Cenario']]]=Tabela5[[#Headers],[Revisado]],Tabela5[[#This Row],['[Valores_cenario']]],0)</f>
        <v>0</v>
      </c>
      <c r="P903" s="6">
        <f>IF(Tabela5[[#This Row],[Dim_Cenario'[Nome Cenario']]]=Tabela5[[#Headers],[Realizado]],Tabela5[[#This Row],['[Valores_cenario']]],0)</f>
        <v>29850</v>
      </c>
    </row>
    <row r="904" hidden="1" spans="1:16">
      <c r="A904" t="s">
        <v>97</v>
      </c>
      <c r="B904" t="s">
        <v>18</v>
      </c>
      <c r="C904" t="s">
        <v>98</v>
      </c>
      <c r="D904" t="s">
        <v>15</v>
      </c>
      <c r="E904">
        <v>2025</v>
      </c>
      <c r="F904" t="s">
        <v>25</v>
      </c>
      <c r="G904" t="s">
        <v>38</v>
      </c>
      <c r="H904">
        <v>3</v>
      </c>
      <c r="I904">
        <v>93.41</v>
      </c>
      <c r="J904" t="s">
        <v>33</v>
      </c>
      <c r="K904" s="3">
        <v>45747</v>
      </c>
      <c r="L904" t="s">
        <v>50</v>
      </c>
      <c r="M904" t="s">
        <v>597</v>
      </c>
      <c r="N904" s="6">
        <f>IF(Tabela5[[#This Row],[Dim_Cenario'[Nome Cenario']]]=Tabela5[[#Headers],[INIC Atual]],Tabela5[[#This Row],['[Valores_cenario']]],0)</f>
        <v>0</v>
      </c>
      <c r="O904" s="6">
        <f>IF(Tabela5[[#This Row],[Dim_Cenario'[Nome Cenario']]]=Tabela5[[#Headers],[Revisado]],Tabela5[[#This Row],['[Valores_cenario']]],0)</f>
        <v>0</v>
      </c>
      <c r="P904" s="6">
        <f>IF(Tabela5[[#This Row],[Dim_Cenario'[Nome Cenario']]]=Tabela5[[#Headers],[Realizado]],Tabela5[[#This Row],['[Valores_cenario']]],0)</f>
        <v>93.41</v>
      </c>
    </row>
    <row r="905" hidden="1" spans="1:16">
      <c r="A905" t="s">
        <v>97</v>
      </c>
      <c r="B905" t="s">
        <v>18</v>
      </c>
      <c r="C905" t="s">
        <v>98</v>
      </c>
      <c r="D905" t="s">
        <v>15</v>
      </c>
      <c r="E905">
        <v>2025</v>
      </c>
      <c r="F905" t="s">
        <v>27</v>
      </c>
      <c r="G905" t="s">
        <v>28</v>
      </c>
      <c r="H905">
        <v>4</v>
      </c>
      <c r="I905">
        <v>-93.41</v>
      </c>
      <c r="J905" t="s">
        <v>33</v>
      </c>
      <c r="K905" s="3">
        <v>45754</v>
      </c>
      <c r="L905" t="s">
        <v>50</v>
      </c>
      <c r="M905" t="s">
        <v>597</v>
      </c>
      <c r="N905" s="6">
        <f>IF(Tabela5[[#This Row],[Dim_Cenario'[Nome Cenario']]]=Tabela5[[#Headers],[INIC Atual]],Tabela5[[#This Row],['[Valores_cenario']]],0)</f>
        <v>0</v>
      </c>
      <c r="O905" s="6">
        <f>IF(Tabela5[[#This Row],[Dim_Cenario'[Nome Cenario']]]=Tabela5[[#Headers],[Revisado]],Tabela5[[#This Row],['[Valores_cenario']]],0)</f>
        <v>0</v>
      </c>
      <c r="P905" s="6">
        <f>IF(Tabela5[[#This Row],[Dim_Cenario'[Nome Cenario']]]=Tabela5[[#Headers],[Realizado]],Tabela5[[#This Row],['[Valores_cenario']]],0)</f>
        <v>-93.41</v>
      </c>
    </row>
    <row r="906" hidden="1" spans="1:16">
      <c r="A906" t="s">
        <v>17</v>
      </c>
      <c r="B906" t="s">
        <v>18</v>
      </c>
      <c r="C906" t="s">
        <v>37</v>
      </c>
      <c r="D906" t="s">
        <v>20</v>
      </c>
      <c r="E906">
        <v>2026</v>
      </c>
      <c r="F906" t="s">
        <v>21</v>
      </c>
      <c r="G906" t="s">
        <v>32</v>
      </c>
      <c r="H906">
        <v>12</v>
      </c>
      <c r="I906">
        <v>32323.34</v>
      </c>
      <c r="J906" t="s">
        <v>33</v>
      </c>
      <c r="K906" s="3"/>
      <c r="N906" s="6">
        <f>IF(Tabela5[[#This Row],[Dim_Cenario'[Nome Cenario']]]=Tabela5[[#Headers],[INIC Atual]],Tabela5[[#This Row],['[Valores_cenario']]],0)</f>
        <v>32323.34</v>
      </c>
      <c r="O906" s="6">
        <f>IF(Tabela5[[#This Row],[Dim_Cenario'[Nome Cenario']]]=Tabela5[[#Headers],[Revisado]],Tabela5[[#This Row],['[Valores_cenario']]],0)</f>
        <v>0</v>
      </c>
      <c r="P906" s="6">
        <f>IF(Tabela5[[#This Row],[Dim_Cenario'[Nome Cenario']]]=Tabela5[[#Headers],[Realizado]],Tabela5[[#This Row],['[Valores_cenario']]],0)</f>
        <v>0</v>
      </c>
    </row>
    <row r="907" hidden="1" spans="1:16">
      <c r="A907" t="s">
        <v>97</v>
      </c>
      <c r="B907" t="s">
        <v>18</v>
      </c>
      <c r="C907" t="s">
        <v>98</v>
      </c>
      <c r="D907" t="s">
        <v>15</v>
      </c>
      <c r="E907">
        <v>2025</v>
      </c>
      <c r="F907" t="s">
        <v>27</v>
      </c>
      <c r="G907" t="s">
        <v>28</v>
      </c>
      <c r="H907">
        <v>4</v>
      </c>
      <c r="I907">
        <v>93.41</v>
      </c>
      <c r="J907" t="s">
        <v>33</v>
      </c>
      <c r="K907" s="3">
        <v>45777</v>
      </c>
      <c r="L907" t="s">
        <v>50</v>
      </c>
      <c r="M907" t="s">
        <v>598</v>
      </c>
      <c r="N907" s="6">
        <f>IF(Tabela5[[#This Row],[Dim_Cenario'[Nome Cenario']]]=Tabela5[[#Headers],[INIC Atual]],Tabela5[[#This Row],['[Valores_cenario']]],0)</f>
        <v>0</v>
      </c>
      <c r="O907" s="6">
        <f>IF(Tabela5[[#This Row],[Dim_Cenario'[Nome Cenario']]]=Tabela5[[#Headers],[Revisado]],Tabela5[[#This Row],['[Valores_cenario']]],0)</f>
        <v>0</v>
      </c>
      <c r="P907" s="6">
        <f>IF(Tabela5[[#This Row],[Dim_Cenario'[Nome Cenario']]]=Tabela5[[#Headers],[Realizado]],Tabela5[[#This Row],['[Valores_cenario']]],0)</f>
        <v>93.41</v>
      </c>
    </row>
    <row r="908" hidden="1" spans="1:16">
      <c r="A908" t="s">
        <v>97</v>
      </c>
      <c r="B908" t="s">
        <v>18</v>
      </c>
      <c r="C908" t="s">
        <v>98</v>
      </c>
      <c r="D908" t="s">
        <v>15</v>
      </c>
      <c r="E908">
        <v>2025</v>
      </c>
      <c r="F908" t="s">
        <v>27</v>
      </c>
      <c r="G908" t="s">
        <v>39</v>
      </c>
      <c r="H908">
        <v>5</v>
      </c>
      <c r="I908">
        <v>-93.41</v>
      </c>
      <c r="J908" t="s">
        <v>33</v>
      </c>
      <c r="K908" s="3">
        <v>45786</v>
      </c>
      <c r="L908" t="s">
        <v>50</v>
      </c>
      <c r="M908" t="s">
        <v>598</v>
      </c>
      <c r="N908" s="6">
        <f>IF(Tabela5[[#This Row],[Dim_Cenario'[Nome Cenario']]]=Tabela5[[#Headers],[INIC Atual]],Tabela5[[#This Row],['[Valores_cenario']]],0)</f>
        <v>0</v>
      </c>
      <c r="O908" s="6">
        <f>IF(Tabela5[[#This Row],[Dim_Cenario'[Nome Cenario']]]=Tabela5[[#Headers],[Revisado]],Tabela5[[#This Row],['[Valores_cenario']]],0)</f>
        <v>0</v>
      </c>
      <c r="P908" s="6">
        <f>IF(Tabela5[[#This Row],[Dim_Cenario'[Nome Cenario']]]=Tabela5[[#Headers],[Realizado]],Tabela5[[#This Row],['[Valores_cenario']]],0)</f>
        <v>-93.41</v>
      </c>
    </row>
    <row r="909" hidden="1" spans="1:16">
      <c r="A909" t="s">
        <v>17</v>
      </c>
      <c r="B909" t="s">
        <v>18</v>
      </c>
      <c r="C909" t="s">
        <v>96</v>
      </c>
      <c r="D909" t="s">
        <v>15</v>
      </c>
      <c r="E909">
        <v>2025</v>
      </c>
      <c r="F909" t="s">
        <v>27</v>
      </c>
      <c r="G909" t="s">
        <v>39</v>
      </c>
      <c r="H909">
        <v>5</v>
      </c>
      <c r="I909">
        <v>223906.71</v>
      </c>
      <c r="J909" t="s">
        <v>33</v>
      </c>
      <c r="K909" s="3">
        <v>45797</v>
      </c>
      <c r="L909" t="s">
        <v>599</v>
      </c>
      <c r="M909" t="s">
        <v>600</v>
      </c>
      <c r="N909" s="6">
        <f>IF(Tabela5[[#This Row],[Dim_Cenario'[Nome Cenario']]]=Tabela5[[#Headers],[INIC Atual]],Tabela5[[#This Row],['[Valores_cenario']]],0)</f>
        <v>0</v>
      </c>
      <c r="O909" s="6">
        <f>IF(Tabela5[[#This Row],[Dim_Cenario'[Nome Cenario']]]=Tabela5[[#Headers],[Revisado]],Tabela5[[#This Row],['[Valores_cenario']]],0)</f>
        <v>0</v>
      </c>
      <c r="P909" s="6">
        <f>IF(Tabela5[[#This Row],[Dim_Cenario'[Nome Cenario']]]=Tabela5[[#Headers],[Realizado]],Tabela5[[#This Row],['[Valores_cenario']]],0)</f>
        <v>223906.71</v>
      </c>
    </row>
    <row r="910" hidden="1" spans="1:16">
      <c r="A910" t="s">
        <v>97</v>
      </c>
      <c r="B910" t="s">
        <v>18</v>
      </c>
      <c r="C910" t="s">
        <v>98</v>
      </c>
      <c r="D910" t="s">
        <v>15</v>
      </c>
      <c r="E910">
        <v>2025</v>
      </c>
      <c r="F910" t="s">
        <v>27</v>
      </c>
      <c r="G910" t="s">
        <v>39</v>
      </c>
      <c r="H910">
        <v>5</v>
      </c>
      <c r="I910">
        <v>93.41</v>
      </c>
      <c r="J910" t="s">
        <v>33</v>
      </c>
      <c r="K910" s="3">
        <v>45808</v>
      </c>
      <c r="L910" t="s">
        <v>50</v>
      </c>
      <c r="M910" t="s">
        <v>601</v>
      </c>
      <c r="N910" s="6">
        <f>IF(Tabela5[[#This Row],[Dim_Cenario'[Nome Cenario']]]=Tabela5[[#Headers],[INIC Atual]],Tabela5[[#This Row],['[Valores_cenario']]],0)</f>
        <v>0</v>
      </c>
      <c r="O910" s="6">
        <f>IF(Tabela5[[#This Row],[Dim_Cenario'[Nome Cenario']]]=Tabela5[[#Headers],[Revisado]],Tabela5[[#This Row],['[Valores_cenario']]],0)</f>
        <v>0</v>
      </c>
      <c r="P910" s="6">
        <f>IF(Tabela5[[#This Row],[Dim_Cenario'[Nome Cenario']]]=Tabela5[[#Headers],[Realizado]],Tabela5[[#This Row],['[Valores_cenario']]],0)</f>
        <v>93.41</v>
      </c>
    </row>
    <row r="911" hidden="1" spans="1:16">
      <c r="A911" t="s">
        <v>97</v>
      </c>
      <c r="B911" t="s">
        <v>18</v>
      </c>
      <c r="C911" t="s">
        <v>98</v>
      </c>
      <c r="D911" t="s">
        <v>15</v>
      </c>
      <c r="E911">
        <v>2025</v>
      </c>
      <c r="F911" t="s">
        <v>27</v>
      </c>
      <c r="G911" t="s">
        <v>29</v>
      </c>
      <c r="H911">
        <v>6</v>
      </c>
      <c r="I911">
        <v>-93.41</v>
      </c>
      <c r="J911" t="s">
        <v>33</v>
      </c>
      <c r="K911" s="3">
        <v>45813</v>
      </c>
      <c r="L911" t="s">
        <v>50</v>
      </c>
      <c r="M911" t="s">
        <v>601</v>
      </c>
      <c r="N911" s="6">
        <f>IF(Tabela5[[#This Row],[Dim_Cenario'[Nome Cenario']]]=Tabela5[[#Headers],[INIC Atual]],Tabela5[[#This Row],['[Valores_cenario']]],0)</f>
        <v>0</v>
      </c>
      <c r="O911" s="6">
        <f>IF(Tabela5[[#This Row],[Dim_Cenario'[Nome Cenario']]]=Tabela5[[#Headers],[Revisado]],Tabela5[[#This Row],['[Valores_cenario']]],0)</f>
        <v>0</v>
      </c>
      <c r="P911" s="6">
        <f>IF(Tabela5[[#This Row],[Dim_Cenario'[Nome Cenario']]]=Tabela5[[#Headers],[Realizado]],Tabela5[[#This Row],['[Valores_cenario']]],0)</f>
        <v>-93.41</v>
      </c>
    </row>
    <row r="912" hidden="1" spans="1:16">
      <c r="A912" t="s">
        <v>17</v>
      </c>
      <c r="B912" t="s">
        <v>18</v>
      </c>
      <c r="C912" t="s">
        <v>37</v>
      </c>
      <c r="D912" t="s">
        <v>14</v>
      </c>
      <c r="E912">
        <v>2026</v>
      </c>
      <c r="F912" t="s">
        <v>25</v>
      </c>
      <c r="G912" t="s">
        <v>35</v>
      </c>
      <c r="H912">
        <v>1</v>
      </c>
      <c r="I912">
        <v>12173.34</v>
      </c>
      <c r="J912" t="s">
        <v>33</v>
      </c>
      <c r="K912" s="3"/>
      <c r="N912" s="6">
        <f>IF(Tabela5[[#This Row],[Dim_Cenario'[Nome Cenario']]]=Tabela5[[#Headers],[INIC Atual]],Tabela5[[#This Row],['[Valores_cenario']]],0)</f>
        <v>0</v>
      </c>
      <c r="O912" s="6">
        <f>IF(Tabela5[[#This Row],[Dim_Cenario'[Nome Cenario']]]=Tabela5[[#Headers],[Revisado]],Tabela5[[#This Row],['[Valores_cenario']]],0)</f>
        <v>12173.34</v>
      </c>
      <c r="P912" s="6">
        <f>IF(Tabela5[[#This Row],[Dim_Cenario'[Nome Cenario']]]=Tabela5[[#Headers],[Realizado]],Tabela5[[#This Row],['[Valores_cenario']]],0)</f>
        <v>0</v>
      </c>
    </row>
    <row r="913" hidden="1" spans="1:16">
      <c r="A913" t="s">
        <v>97</v>
      </c>
      <c r="B913" t="s">
        <v>18</v>
      </c>
      <c r="C913" t="s">
        <v>98</v>
      </c>
      <c r="D913" t="s">
        <v>15</v>
      </c>
      <c r="E913">
        <v>2025</v>
      </c>
      <c r="F913" t="s">
        <v>27</v>
      </c>
      <c r="G913" t="s">
        <v>29</v>
      </c>
      <c r="H913">
        <v>6</v>
      </c>
      <c r="I913">
        <v>93.41</v>
      </c>
      <c r="J913" t="s">
        <v>33</v>
      </c>
      <c r="K913" s="3">
        <v>45838</v>
      </c>
      <c r="L913" t="s">
        <v>50</v>
      </c>
      <c r="M913" t="s">
        <v>602</v>
      </c>
      <c r="N913" s="6">
        <f>IF(Tabela5[[#This Row],[Dim_Cenario'[Nome Cenario']]]=Tabela5[[#Headers],[INIC Atual]],Tabela5[[#This Row],['[Valores_cenario']]],0)</f>
        <v>0</v>
      </c>
      <c r="O913" s="6">
        <f>IF(Tabela5[[#This Row],[Dim_Cenario'[Nome Cenario']]]=Tabela5[[#Headers],[Revisado]],Tabela5[[#This Row],['[Valores_cenario']]],0)</f>
        <v>0</v>
      </c>
      <c r="P913" s="6">
        <f>IF(Tabela5[[#This Row],[Dim_Cenario'[Nome Cenario']]]=Tabela5[[#Headers],[Realizado]],Tabela5[[#This Row],['[Valores_cenario']]],0)</f>
        <v>93.41</v>
      </c>
    </row>
    <row r="914" hidden="1" spans="1:16">
      <c r="A914" t="s">
        <v>97</v>
      </c>
      <c r="B914" t="s">
        <v>18</v>
      </c>
      <c r="C914" t="s">
        <v>98</v>
      </c>
      <c r="D914" t="s">
        <v>15</v>
      </c>
      <c r="E914">
        <v>2025</v>
      </c>
      <c r="F914" t="s">
        <v>30</v>
      </c>
      <c r="G914" t="s">
        <v>40</v>
      </c>
      <c r="H914">
        <v>7</v>
      </c>
      <c r="I914">
        <v>-93.41</v>
      </c>
      <c r="J914" t="s">
        <v>33</v>
      </c>
      <c r="K914" s="3">
        <v>45842</v>
      </c>
      <c r="L914" t="s">
        <v>50</v>
      </c>
      <c r="M914" t="s">
        <v>602</v>
      </c>
      <c r="N914" s="6">
        <f>IF(Tabela5[[#This Row],[Dim_Cenario'[Nome Cenario']]]=Tabela5[[#Headers],[INIC Atual]],Tabela5[[#This Row],['[Valores_cenario']]],0)</f>
        <v>0</v>
      </c>
      <c r="O914" s="6">
        <f>IF(Tabela5[[#This Row],[Dim_Cenario'[Nome Cenario']]]=Tabela5[[#Headers],[Revisado]],Tabela5[[#This Row],['[Valores_cenario']]],0)</f>
        <v>0</v>
      </c>
      <c r="P914" s="6">
        <f>IF(Tabela5[[#This Row],[Dim_Cenario'[Nome Cenario']]]=Tabela5[[#Headers],[Realizado]],Tabela5[[#This Row],['[Valores_cenario']]],0)</f>
        <v>-93.41</v>
      </c>
    </row>
    <row r="915" hidden="1" spans="1:16">
      <c r="A915" t="s">
        <v>17</v>
      </c>
      <c r="B915" t="s">
        <v>18</v>
      </c>
      <c r="C915" t="s">
        <v>96</v>
      </c>
      <c r="D915" t="s">
        <v>15</v>
      </c>
      <c r="E915">
        <v>2025</v>
      </c>
      <c r="F915" t="s">
        <v>30</v>
      </c>
      <c r="G915" t="s">
        <v>40</v>
      </c>
      <c r="H915">
        <v>7</v>
      </c>
      <c r="I915">
        <v>111953.35</v>
      </c>
      <c r="J915" t="s">
        <v>33</v>
      </c>
      <c r="K915" s="3">
        <v>45848</v>
      </c>
      <c r="L915" t="s">
        <v>603</v>
      </c>
      <c r="M915" t="s">
        <v>604</v>
      </c>
      <c r="N915" s="6">
        <f>IF(Tabela5[[#This Row],[Dim_Cenario'[Nome Cenario']]]=Tabela5[[#Headers],[INIC Atual]],Tabela5[[#This Row],['[Valores_cenario']]],0)</f>
        <v>0</v>
      </c>
      <c r="O915" s="6">
        <f>IF(Tabela5[[#This Row],[Dim_Cenario'[Nome Cenario']]]=Tabela5[[#Headers],[Revisado]],Tabela5[[#This Row],['[Valores_cenario']]],0)</f>
        <v>0</v>
      </c>
      <c r="P915" s="6">
        <f>IF(Tabela5[[#This Row],[Dim_Cenario'[Nome Cenario']]]=Tabela5[[#Headers],[Realizado]],Tabela5[[#This Row],['[Valores_cenario']]],0)</f>
        <v>111953.35</v>
      </c>
    </row>
    <row r="916" hidden="1" spans="1:16">
      <c r="A916" t="s">
        <v>17</v>
      </c>
      <c r="B916" t="s">
        <v>18</v>
      </c>
      <c r="C916" t="s">
        <v>37</v>
      </c>
      <c r="D916" t="s">
        <v>14</v>
      </c>
      <c r="E916">
        <v>2026</v>
      </c>
      <c r="F916" t="s">
        <v>25</v>
      </c>
      <c r="G916" t="s">
        <v>26</v>
      </c>
      <c r="H916">
        <v>2</v>
      </c>
      <c r="I916">
        <v>32323.34</v>
      </c>
      <c r="J916" t="s">
        <v>33</v>
      </c>
      <c r="K916" s="3"/>
      <c r="N916" s="6">
        <f>IF(Tabela5[[#This Row],[Dim_Cenario'[Nome Cenario']]]=Tabela5[[#Headers],[INIC Atual]],Tabela5[[#This Row],['[Valores_cenario']]],0)</f>
        <v>0</v>
      </c>
      <c r="O916" s="6">
        <f>IF(Tabela5[[#This Row],[Dim_Cenario'[Nome Cenario']]]=Tabela5[[#Headers],[Revisado]],Tabela5[[#This Row],['[Valores_cenario']]],0)</f>
        <v>32323.34</v>
      </c>
      <c r="P916" s="6">
        <f>IF(Tabela5[[#This Row],[Dim_Cenario'[Nome Cenario']]]=Tabela5[[#Headers],[Realizado]],Tabela5[[#This Row],['[Valores_cenario']]],0)</f>
        <v>0</v>
      </c>
    </row>
    <row r="917" hidden="1" spans="1:16">
      <c r="A917" t="s">
        <v>97</v>
      </c>
      <c r="B917" t="s">
        <v>18</v>
      </c>
      <c r="C917" t="s">
        <v>98</v>
      </c>
      <c r="D917" t="s">
        <v>15</v>
      </c>
      <c r="E917">
        <v>2025</v>
      </c>
      <c r="F917" t="s">
        <v>30</v>
      </c>
      <c r="G917" t="s">
        <v>40</v>
      </c>
      <c r="H917">
        <v>7</v>
      </c>
      <c r="I917">
        <v>93.41</v>
      </c>
      <c r="J917" t="s">
        <v>33</v>
      </c>
      <c r="K917" s="3">
        <v>45869</v>
      </c>
      <c r="L917" t="s">
        <v>50</v>
      </c>
      <c r="M917" t="s">
        <v>605</v>
      </c>
      <c r="N917" s="6">
        <f>IF(Tabela5[[#This Row],[Dim_Cenario'[Nome Cenario']]]=Tabela5[[#Headers],[INIC Atual]],Tabela5[[#This Row],['[Valores_cenario']]],0)</f>
        <v>0</v>
      </c>
      <c r="O917" s="6">
        <f>IF(Tabela5[[#This Row],[Dim_Cenario'[Nome Cenario']]]=Tabela5[[#Headers],[Revisado]],Tabela5[[#This Row],['[Valores_cenario']]],0)</f>
        <v>0</v>
      </c>
      <c r="P917" s="6">
        <f>IF(Tabela5[[#This Row],[Dim_Cenario'[Nome Cenario']]]=Tabela5[[#Headers],[Realizado]],Tabela5[[#This Row],['[Valores_cenario']]],0)</f>
        <v>93.41</v>
      </c>
    </row>
    <row r="918" hidden="1" spans="1:16">
      <c r="A918" t="s">
        <v>97</v>
      </c>
      <c r="B918" t="s">
        <v>18</v>
      </c>
      <c r="C918" t="s">
        <v>98</v>
      </c>
      <c r="D918" t="s">
        <v>15</v>
      </c>
      <c r="E918">
        <v>2025</v>
      </c>
      <c r="F918" t="s">
        <v>30</v>
      </c>
      <c r="G918" t="s">
        <v>31</v>
      </c>
      <c r="H918">
        <v>8</v>
      </c>
      <c r="I918">
        <v>-93.41</v>
      </c>
      <c r="J918" t="s">
        <v>33</v>
      </c>
      <c r="K918" s="3">
        <v>45877</v>
      </c>
      <c r="L918" t="s">
        <v>50</v>
      </c>
      <c r="M918" t="s">
        <v>605</v>
      </c>
      <c r="N918" s="6">
        <f>IF(Tabela5[[#This Row],[Dim_Cenario'[Nome Cenario']]]=Tabela5[[#Headers],[INIC Atual]],Tabela5[[#This Row],['[Valores_cenario']]],0)</f>
        <v>0</v>
      </c>
      <c r="O918" s="6">
        <f>IF(Tabela5[[#This Row],[Dim_Cenario'[Nome Cenario']]]=Tabela5[[#Headers],[Revisado]],Tabela5[[#This Row],['[Valores_cenario']]],0)</f>
        <v>0</v>
      </c>
      <c r="P918" s="6">
        <f>IF(Tabela5[[#This Row],[Dim_Cenario'[Nome Cenario']]]=Tabela5[[#Headers],[Realizado]],Tabela5[[#This Row],['[Valores_cenario']]],0)</f>
        <v>-93.41</v>
      </c>
    </row>
    <row r="919" hidden="1" spans="1:16">
      <c r="A919" t="s">
        <v>17</v>
      </c>
      <c r="B919" t="s">
        <v>18</v>
      </c>
      <c r="C919" t="s">
        <v>37</v>
      </c>
      <c r="D919" t="s">
        <v>14</v>
      </c>
      <c r="E919">
        <v>2026</v>
      </c>
      <c r="F919" t="s">
        <v>25</v>
      </c>
      <c r="G919" t="s">
        <v>38</v>
      </c>
      <c r="H919">
        <v>3</v>
      </c>
      <c r="I919">
        <v>32323.34</v>
      </c>
      <c r="J919" t="s">
        <v>33</v>
      </c>
      <c r="K919" s="3"/>
      <c r="N919" s="6">
        <f>IF(Tabela5[[#This Row],[Dim_Cenario'[Nome Cenario']]]=Tabela5[[#Headers],[INIC Atual]],Tabela5[[#This Row],['[Valores_cenario']]],0)</f>
        <v>0</v>
      </c>
      <c r="O919" s="6">
        <f>IF(Tabela5[[#This Row],[Dim_Cenario'[Nome Cenario']]]=Tabela5[[#Headers],[Revisado]],Tabela5[[#This Row],['[Valores_cenario']]],0)</f>
        <v>32323.34</v>
      </c>
      <c r="P919" s="6">
        <f>IF(Tabela5[[#This Row],[Dim_Cenario'[Nome Cenario']]]=Tabela5[[#Headers],[Realizado]],Tabela5[[#This Row],['[Valores_cenario']]],0)</f>
        <v>0</v>
      </c>
    </row>
    <row r="920" hidden="1" spans="1:16">
      <c r="A920" t="s">
        <v>17</v>
      </c>
      <c r="B920" t="s">
        <v>18</v>
      </c>
      <c r="C920" t="s">
        <v>96</v>
      </c>
      <c r="D920" t="s">
        <v>15</v>
      </c>
      <c r="E920">
        <v>2025</v>
      </c>
      <c r="F920" t="s">
        <v>30</v>
      </c>
      <c r="G920" t="s">
        <v>31</v>
      </c>
      <c r="H920">
        <v>8</v>
      </c>
      <c r="I920">
        <v>55976.68</v>
      </c>
      <c r="J920" t="s">
        <v>33</v>
      </c>
      <c r="K920" s="3">
        <v>45887</v>
      </c>
      <c r="L920" t="s">
        <v>606</v>
      </c>
      <c r="M920" t="s">
        <v>607</v>
      </c>
      <c r="N920" s="6">
        <f>IF(Tabela5[[#This Row],[Dim_Cenario'[Nome Cenario']]]=Tabela5[[#Headers],[INIC Atual]],Tabela5[[#This Row],['[Valores_cenario']]],0)</f>
        <v>0</v>
      </c>
      <c r="O920" s="6">
        <f>IF(Tabela5[[#This Row],[Dim_Cenario'[Nome Cenario']]]=Tabela5[[#Headers],[Revisado]],Tabela5[[#This Row],['[Valores_cenario']]],0)</f>
        <v>0</v>
      </c>
      <c r="P920" s="6">
        <f>IF(Tabela5[[#This Row],[Dim_Cenario'[Nome Cenario']]]=Tabela5[[#Headers],[Realizado]],Tabela5[[#This Row],['[Valores_cenario']]],0)</f>
        <v>55976.68</v>
      </c>
    </row>
    <row r="921" hidden="1" spans="1:16">
      <c r="A921" t="s">
        <v>97</v>
      </c>
      <c r="B921" t="s">
        <v>18</v>
      </c>
      <c r="C921" t="s">
        <v>98</v>
      </c>
      <c r="D921" t="s">
        <v>15</v>
      </c>
      <c r="E921">
        <v>2025</v>
      </c>
      <c r="F921" t="s">
        <v>30</v>
      </c>
      <c r="G921" t="s">
        <v>31</v>
      </c>
      <c r="H921">
        <v>8</v>
      </c>
      <c r="I921">
        <v>93.41</v>
      </c>
      <c r="J921" t="s">
        <v>33</v>
      </c>
      <c r="K921" s="3">
        <v>45900</v>
      </c>
      <c r="L921" t="s">
        <v>50</v>
      </c>
      <c r="M921" t="s">
        <v>608</v>
      </c>
      <c r="N921" s="6">
        <f>IF(Tabela5[[#This Row],[Dim_Cenario'[Nome Cenario']]]=Tabela5[[#Headers],[INIC Atual]],Tabela5[[#This Row],['[Valores_cenario']]],0)</f>
        <v>0</v>
      </c>
      <c r="O921" s="6">
        <f>IF(Tabela5[[#This Row],[Dim_Cenario'[Nome Cenario']]]=Tabela5[[#Headers],[Revisado]],Tabela5[[#This Row],['[Valores_cenario']]],0)</f>
        <v>0</v>
      </c>
      <c r="P921" s="6">
        <f>IF(Tabela5[[#This Row],[Dim_Cenario'[Nome Cenario']]]=Tabela5[[#Headers],[Realizado]],Tabela5[[#This Row],['[Valores_cenario']]],0)</f>
        <v>93.41</v>
      </c>
    </row>
    <row r="922" hidden="1" spans="1:16">
      <c r="A922" t="s">
        <v>97</v>
      </c>
      <c r="B922" t="s">
        <v>18</v>
      </c>
      <c r="C922" t="s">
        <v>98</v>
      </c>
      <c r="D922" t="s">
        <v>15</v>
      </c>
      <c r="E922">
        <v>2025</v>
      </c>
      <c r="F922" t="s">
        <v>30</v>
      </c>
      <c r="G922" t="s">
        <v>41</v>
      </c>
      <c r="H922">
        <v>9</v>
      </c>
      <c r="I922">
        <v>-93.41</v>
      </c>
      <c r="J922" t="s">
        <v>33</v>
      </c>
      <c r="K922" s="3">
        <v>45905</v>
      </c>
      <c r="L922" t="s">
        <v>50</v>
      </c>
      <c r="M922" t="s">
        <v>608</v>
      </c>
      <c r="N922" s="6">
        <f>IF(Tabela5[[#This Row],[Dim_Cenario'[Nome Cenario']]]=Tabela5[[#Headers],[INIC Atual]],Tabela5[[#This Row],['[Valores_cenario']]],0)</f>
        <v>0</v>
      </c>
      <c r="O922" s="6">
        <f>IF(Tabela5[[#This Row],[Dim_Cenario'[Nome Cenario']]]=Tabela5[[#Headers],[Revisado]],Tabela5[[#This Row],['[Valores_cenario']]],0)</f>
        <v>0</v>
      </c>
      <c r="P922" s="6">
        <f>IF(Tabela5[[#This Row],[Dim_Cenario'[Nome Cenario']]]=Tabela5[[#Headers],[Realizado]],Tabela5[[#This Row],['[Valores_cenario']]],0)</f>
        <v>-93.41</v>
      </c>
    </row>
    <row r="923" hidden="1" spans="1:16">
      <c r="A923" t="s">
        <v>17</v>
      </c>
      <c r="B923" t="s">
        <v>18</v>
      </c>
      <c r="C923" t="s">
        <v>37</v>
      </c>
      <c r="D923" t="s">
        <v>14</v>
      </c>
      <c r="E923">
        <v>2026</v>
      </c>
      <c r="F923" t="s">
        <v>27</v>
      </c>
      <c r="G923" t="s">
        <v>28</v>
      </c>
      <c r="H923">
        <v>4</v>
      </c>
      <c r="I923">
        <v>32323.34</v>
      </c>
      <c r="J923" t="s">
        <v>33</v>
      </c>
      <c r="K923" s="3"/>
      <c r="N923" s="6">
        <f>IF(Tabela5[[#This Row],[Dim_Cenario'[Nome Cenario']]]=Tabela5[[#Headers],[INIC Atual]],Tabela5[[#This Row],['[Valores_cenario']]],0)</f>
        <v>0</v>
      </c>
      <c r="O923" s="6">
        <f>IF(Tabela5[[#This Row],[Dim_Cenario'[Nome Cenario']]]=Tabela5[[#Headers],[Revisado]],Tabela5[[#This Row],['[Valores_cenario']]],0)</f>
        <v>32323.34</v>
      </c>
      <c r="P923" s="6">
        <f>IF(Tabela5[[#This Row],[Dim_Cenario'[Nome Cenario']]]=Tabela5[[#Headers],[Realizado]],Tabela5[[#This Row],['[Valores_cenario']]],0)</f>
        <v>0</v>
      </c>
    </row>
    <row r="924" hidden="1" spans="1:16">
      <c r="A924" t="s">
        <v>17</v>
      </c>
      <c r="B924" t="s">
        <v>18</v>
      </c>
      <c r="C924" t="s">
        <v>37</v>
      </c>
      <c r="D924" t="s">
        <v>14</v>
      </c>
      <c r="E924">
        <v>2026</v>
      </c>
      <c r="F924" t="s">
        <v>27</v>
      </c>
      <c r="G924" t="s">
        <v>39</v>
      </c>
      <c r="H924">
        <v>5</v>
      </c>
      <c r="I924">
        <v>32323.34</v>
      </c>
      <c r="J924" t="s">
        <v>33</v>
      </c>
      <c r="K924" s="3"/>
      <c r="N924" s="6">
        <f>IF(Tabela5[[#This Row],[Dim_Cenario'[Nome Cenario']]]=Tabela5[[#Headers],[INIC Atual]],Tabela5[[#This Row],['[Valores_cenario']]],0)</f>
        <v>0</v>
      </c>
      <c r="O924" s="6">
        <f>IF(Tabela5[[#This Row],[Dim_Cenario'[Nome Cenario']]]=Tabela5[[#Headers],[Revisado]],Tabela5[[#This Row],['[Valores_cenario']]],0)</f>
        <v>32323.34</v>
      </c>
      <c r="P924" s="6">
        <f>IF(Tabela5[[#This Row],[Dim_Cenario'[Nome Cenario']]]=Tabela5[[#Headers],[Realizado]],Tabela5[[#This Row],['[Valores_cenario']]],0)</f>
        <v>0</v>
      </c>
    </row>
    <row r="925" hidden="1" spans="1:16">
      <c r="A925" t="s">
        <v>17</v>
      </c>
      <c r="B925" t="s">
        <v>18</v>
      </c>
      <c r="C925" t="s">
        <v>19</v>
      </c>
      <c r="D925" t="s">
        <v>15</v>
      </c>
      <c r="E925">
        <v>2025</v>
      </c>
      <c r="F925" t="s">
        <v>30</v>
      </c>
      <c r="G925" t="s">
        <v>41</v>
      </c>
      <c r="H925">
        <v>9</v>
      </c>
      <c r="I925">
        <v>18502.04</v>
      </c>
      <c r="J925" t="s">
        <v>33</v>
      </c>
      <c r="K925" s="3">
        <v>45910</v>
      </c>
      <c r="L925" t="s">
        <v>609</v>
      </c>
      <c r="M925" t="s">
        <v>610</v>
      </c>
      <c r="N925" s="6">
        <f>IF(Tabela5[[#This Row],[Dim_Cenario'[Nome Cenario']]]=Tabela5[[#Headers],[INIC Atual]],Tabela5[[#This Row],['[Valores_cenario']]],0)</f>
        <v>0</v>
      </c>
      <c r="O925" s="6">
        <f>IF(Tabela5[[#This Row],[Dim_Cenario'[Nome Cenario']]]=Tabela5[[#Headers],[Revisado]],Tabela5[[#This Row],['[Valores_cenario']]],0)</f>
        <v>0</v>
      </c>
      <c r="P925" s="6">
        <f>IF(Tabela5[[#This Row],[Dim_Cenario'[Nome Cenario']]]=Tabela5[[#Headers],[Realizado]],Tabela5[[#This Row],['[Valores_cenario']]],0)</f>
        <v>18502.04</v>
      </c>
    </row>
    <row r="926" hidden="1" spans="1:16">
      <c r="A926" t="s">
        <v>17</v>
      </c>
      <c r="B926" t="s">
        <v>18</v>
      </c>
      <c r="C926" t="s">
        <v>19</v>
      </c>
      <c r="D926" t="s">
        <v>15</v>
      </c>
      <c r="E926">
        <v>2025</v>
      </c>
      <c r="F926" t="s">
        <v>30</v>
      </c>
      <c r="G926" t="s">
        <v>41</v>
      </c>
      <c r="H926">
        <v>9</v>
      </c>
      <c r="I926">
        <v>122997.96</v>
      </c>
      <c r="J926" t="s">
        <v>33</v>
      </c>
      <c r="K926" s="3">
        <v>45910</v>
      </c>
      <c r="L926" t="s">
        <v>611</v>
      </c>
      <c r="M926" t="s">
        <v>612</v>
      </c>
      <c r="N926" s="6">
        <f>IF(Tabela5[[#This Row],[Dim_Cenario'[Nome Cenario']]]=Tabela5[[#Headers],[INIC Atual]],Tabela5[[#This Row],['[Valores_cenario']]],0)</f>
        <v>0</v>
      </c>
      <c r="O926" s="6">
        <f>IF(Tabela5[[#This Row],[Dim_Cenario'[Nome Cenario']]]=Tabela5[[#Headers],[Revisado]],Tabela5[[#This Row],['[Valores_cenario']]],0)</f>
        <v>0</v>
      </c>
      <c r="P926" s="6">
        <f>IF(Tabela5[[#This Row],[Dim_Cenario'[Nome Cenario']]]=Tabela5[[#Headers],[Realizado]],Tabela5[[#This Row],['[Valores_cenario']]],0)</f>
        <v>122997.96</v>
      </c>
    </row>
    <row r="927" hidden="1" spans="1:16">
      <c r="A927" t="s">
        <v>17</v>
      </c>
      <c r="B927" t="s">
        <v>18</v>
      </c>
      <c r="C927" t="s">
        <v>37</v>
      </c>
      <c r="D927" t="s">
        <v>14</v>
      </c>
      <c r="E927">
        <v>2026</v>
      </c>
      <c r="F927" t="s">
        <v>27</v>
      </c>
      <c r="G927" t="s">
        <v>29</v>
      </c>
      <c r="H927">
        <v>6</v>
      </c>
      <c r="I927">
        <v>32323.34</v>
      </c>
      <c r="J927" t="s">
        <v>33</v>
      </c>
      <c r="K927" s="3"/>
      <c r="N927" s="6">
        <f>IF(Tabela5[[#This Row],[Dim_Cenario'[Nome Cenario']]]=Tabela5[[#Headers],[INIC Atual]],Tabela5[[#This Row],['[Valores_cenario']]],0)</f>
        <v>0</v>
      </c>
      <c r="O927" s="6">
        <f>IF(Tabela5[[#This Row],[Dim_Cenario'[Nome Cenario']]]=Tabela5[[#Headers],[Revisado]],Tabela5[[#This Row],['[Valores_cenario']]],0)</f>
        <v>32323.34</v>
      </c>
      <c r="P927" s="6">
        <f>IF(Tabela5[[#This Row],[Dim_Cenario'[Nome Cenario']]]=Tabela5[[#Headers],[Realizado]],Tabela5[[#This Row],['[Valores_cenario']]],0)</f>
        <v>0</v>
      </c>
    </row>
    <row r="928" hidden="1" spans="1:16">
      <c r="A928" t="s">
        <v>97</v>
      </c>
      <c r="B928" t="s">
        <v>18</v>
      </c>
      <c r="C928" t="s">
        <v>98</v>
      </c>
      <c r="D928" t="s">
        <v>15</v>
      </c>
      <c r="E928">
        <v>2025</v>
      </c>
      <c r="F928" t="s">
        <v>30</v>
      </c>
      <c r="G928" t="s">
        <v>41</v>
      </c>
      <c r="H928">
        <v>9</v>
      </c>
      <c r="I928">
        <v>93.41</v>
      </c>
      <c r="J928" t="s">
        <v>33</v>
      </c>
      <c r="K928" s="3">
        <v>45930</v>
      </c>
      <c r="L928" t="s">
        <v>50</v>
      </c>
      <c r="M928" t="s">
        <v>613</v>
      </c>
      <c r="N928" s="6">
        <f>IF(Tabela5[[#This Row],[Dim_Cenario'[Nome Cenario']]]=Tabela5[[#Headers],[INIC Atual]],Tabela5[[#This Row],['[Valores_cenario']]],0)</f>
        <v>0</v>
      </c>
      <c r="O928" s="6">
        <f>IF(Tabela5[[#This Row],[Dim_Cenario'[Nome Cenario']]]=Tabela5[[#Headers],[Revisado]],Tabela5[[#This Row],['[Valores_cenario']]],0)</f>
        <v>0</v>
      </c>
      <c r="P928" s="6">
        <f>IF(Tabela5[[#This Row],[Dim_Cenario'[Nome Cenario']]]=Tabela5[[#Headers],[Realizado]],Tabela5[[#This Row],['[Valores_cenario']]],0)</f>
        <v>93.41</v>
      </c>
    </row>
    <row r="929" hidden="1" spans="1:16">
      <c r="A929" t="s">
        <v>97</v>
      </c>
      <c r="B929" t="s">
        <v>18</v>
      </c>
      <c r="C929" t="s">
        <v>98</v>
      </c>
      <c r="D929" t="s">
        <v>15</v>
      </c>
      <c r="E929">
        <v>2025</v>
      </c>
      <c r="F929" t="s">
        <v>21</v>
      </c>
      <c r="G929" t="s">
        <v>22</v>
      </c>
      <c r="H929">
        <v>10</v>
      </c>
      <c r="I929">
        <v>-93.41</v>
      </c>
      <c r="J929" t="s">
        <v>33</v>
      </c>
      <c r="K929" s="3">
        <v>45937</v>
      </c>
      <c r="L929" t="s">
        <v>50</v>
      </c>
      <c r="M929" t="s">
        <v>613</v>
      </c>
      <c r="N929" s="6">
        <f>IF(Tabela5[[#This Row],[Dim_Cenario'[Nome Cenario']]]=Tabela5[[#Headers],[INIC Atual]],Tabela5[[#This Row],['[Valores_cenario']]],0)</f>
        <v>0</v>
      </c>
      <c r="O929" s="6">
        <f>IF(Tabela5[[#This Row],[Dim_Cenario'[Nome Cenario']]]=Tabela5[[#Headers],[Revisado]],Tabela5[[#This Row],['[Valores_cenario']]],0)</f>
        <v>0</v>
      </c>
      <c r="P929" s="6">
        <f>IF(Tabela5[[#This Row],[Dim_Cenario'[Nome Cenario']]]=Tabela5[[#Headers],[Realizado]],Tabela5[[#This Row],['[Valores_cenario']]],0)</f>
        <v>-93.41</v>
      </c>
    </row>
    <row r="930" hidden="1" spans="1:16">
      <c r="A930" t="s">
        <v>17</v>
      </c>
      <c r="B930" t="s">
        <v>18</v>
      </c>
      <c r="C930" t="s">
        <v>37</v>
      </c>
      <c r="D930" t="s">
        <v>14</v>
      </c>
      <c r="E930">
        <v>2026</v>
      </c>
      <c r="F930" t="s">
        <v>30</v>
      </c>
      <c r="G930" t="s">
        <v>40</v>
      </c>
      <c r="H930">
        <v>7</v>
      </c>
      <c r="I930">
        <v>70105.34</v>
      </c>
      <c r="J930" t="s">
        <v>33</v>
      </c>
      <c r="K930" s="3"/>
      <c r="N930" s="6">
        <f>IF(Tabela5[[#This Row],[Dim_Cenario'[Nome Cenario']]]=Tabela5[[#Headers],[INIC Atual]],Tabela5[[#This Row],['[Valores_cenario']]],0)</f>
        <v>0</v>
      </c>
      <c r="O930" s="6">
        <f>IF(Tabela5[[#This Row],[Dim_Cenario'[Nome Cenario']]]=Tabela5[[#Headers],[Revisado]],Tabela5[[#This Row],['[Valores_cenario']]],0)</f>
        <v>70105.34</v>
      </c>
      <c r="P930" s="6">
        <f>IF(Tabela5[[#This Row],[Dim_Cenario'[Nome Cenario']]]=Tabela5[[#Headers],[Realizado]],Tabela5[[#This Row],['[Valores_cenario']]],0)</f>
        <v>0</v>
      </c>
    </row>
    <row r="931" hidden="1" spans="1:16">
      <c r="A931" t="s">
        <v>17</v>
      </c>
      <c r="B931" t="s">
        <v>18</v>
      </c>
      <c r="C931" t="s">
        <v>37</v>
      </c>
      <c r="D931" t="s">
        <v>14</v>
      </c>
      <c r="E931">
        <v>2026</v>
      </c>
      <c r="F931" t="s">
        <v>30</v>
      </c>
      <c r="G931" t="s">
        <v>31</v>
      </c>
      <c r="H931">
        <v>8</v>
      </c>
      <c r="I931">
        <v>78940.34</v>
      </c>
      <c r="J931" t="s">
        <v>33</v>
      </c>
      <c r="K931" s="3"/>
      <c r="N931" s="6">
        <f>IF(Tabela5[[#This Row],[Dim_Cenario'[Nome Cenario']]]=Tabela5[[#Headers],[INIC Atual]],Tabela5[[#This Row],['[Valores_cenario']]],0)</f>
        <v>0</v>
      </c>
      <c r="O931" s="6">
        <f>IF(Tabela5[[#This Row],[Dim_Cenario'[Nome Cenario']]]=Tabela5[[#Headers],[Revisado]],Tabela5[[#This Row],['[Valores_cenario']]],0)</f>
        <v>78940.34</v>
      </c>
      <c r="P931" s="6">
        <f>IF(Tabela5[[#This Row],[Dim_Cenario'[Nome Cenario']]]=Tabela5[[#Headers],[Realizado]],Tabela5[[#This Row],['[Valores_cenario']]],0)</f>
        <v>0</v>
      </c>
    </row>
    <row r="932" hidden="1" spans="1:16">
      <c r="A932" t="s">
        <v>97</v>
      </c>
      <c r="B932" t="s">
        <v>18</v>
      </c>
      <c r="C932" t="s">
        <v>98</v>
      </c>
      <c r="D932" t="s">
        <v>15</v>
      </c>
      <c r="E932">
        <v>2025</v>
      </c>
      <c r="F932" t="s">
        <v>21</v>
      </c>
      <c r="G932" t="s">
        <v>22</v>
      </c>
      <c r="H932">
        <v>10</v>
      </c>
      <c r="I932">
        <v>93.41</v>
      </c>
      <c r="J932" t="s">
        <v>33</v>
      </c>
      <c r="K932" s="3">
        <v>45961</v>
      </c>
      <c r="L932" t="s">
        <v>50</v>
      </c>
      <c r="M932" t="s">
        <v>614</v>
      </c>
      <c r="N932" s="6">
        <f>IF(Tabela5[[#This Row],[Dim_Cenario'[Nome Cenario']]]=Tabela5[[#Headers],[INIC Atual]],Tabela5[[#This Row],['[Valores_cenario']]],0)</f>
        <v>0</v>
      </c>
      <c r="O932" s="6">
        <f>IF(Tabela5[[#This Row],[Dim_Cenario'[Nome Cenario']]]=Tabela5[[#Headers],[Revisado]],Tabela5[[#This Row],['[Valores_cenario']]],0)</f>
        <v>0</v>
      </c>
      <c r="P932" s="6">
        <f>IF(Tabela5[[#This Row],[Dim_Cenario'[Nome Cenario']]]=Tabela5[[#Headers],[Realizado]],Tabela5[[#This Row],['[Valores_cenario']]],0)</f>
        <v>93.41</v>
      </c>
    </row>
    <row r="933" hidden="1" spans="1:16">
      <c r="A933" t="s">
        <v>97</v>
      </c>
      <c r="B933" t="s">
        <v>18</v>
      </c>
      <c r="C933" t="s">
        <v>98</v>
      </c>
      <c r="D933" t="s">
        <v>15</v>
      </c>
      <c r="E933">
        <v>2025</v>
      </c>
      <c r="F933" t="s">
        <v>21</v>
      </c>
      <c r="G933" t="s">
        <v>24</v>
      </c>
      <c r="H933">
        <v>11</v>
      </c>
      <c r="I933">
        <v>-93.41</v>
      </c>
      <c r="J933" t="s">
        <v>33</v>
      </c>
      <c r="K933" s="3">
        <v>45966</v>
      </c>
      <c r="L933" t="s">
        <v>50</v>
      </c>
      <c r="M933" t="s">
        <v>614</v>
      </c>
      <c r="N933" s="6">
        <f>IF(Tabela5[[#This Row],[Dim_Cenario'[Nome Cenario']]]=Tabela5[[#Headers],[INIC Atual]],Tabela5[[#This Row],['[Valores_cenario']]],0)</f>
        <v>0</v>
      </c>
      <c r="O933" s="6">
        <f>IF(Tabela5[[#This Row],[Dim_Cenario'[Nome Cenario']]]=Tabela5[[#Headers],[Revisado]],Tabela5[[#This Row],['[Valores_cenario']]],0)</f>
        <v>0</v>
      </c>
      <c r="P933" s="6">
        <f>IF(Tabela5[[#This Row],[Dim_Cenario'[Nome Cenario']]]=Tabela5[[#Headers],[Realizado]],Tabela5[[#This Row],['[Valores_cenario']]],0)</f>
        <v>-93.41</v>
      </c>
    </row>
    <row r="934" hidden="1" spans="1:16">
      <c r="A934" t="s">
        <v>17</v>
      </c>
      <c r="B934" t="s">
        <v>18</v>
      </c>
      <c r="C934" t="s">
        <v>37</v>
      </c>
      <c r="D934" t="s">
        <v>14</v>
      </c>
      <c r="E934">
        <v>2026</v>
      </c>
      <c r="F934" t="s">
        <v>30</v>
      </c>
      <c r="G934" t="s">
        <v>41</v>
      </c>
      <c r="H934">
        <v>9</v>
      </c>
      <c r="I934">
        <v>32323.34</v>
      </c>
      <c r="J934" t="s">
        <v>33</v>
      </c>
      <c r="K934" s="3"/>
      <c r="N934" s="6">
        <f>IF(Tabela5[[#This Row],[Dim_Cenario'[Nome Cenario']]]=Tabela5[[#Headers],[INIC Atual]],Tabela5[[#This Row],['[Valores_cenario']]],0)</f>
        <v>0</v>
      </c>
      <c r="O934" s="6">
        <f>IF(Tabela5[[#This Row],[Dim_Cenario'[Nome Cenario']]]=Tabela5[[#Headers],[Revisado]],Tabela5[[#This Row],['[Valores_cenario']]],0)</f>
        <v>32323.34</v>
      </c>
      <c r="P934" s="6">
        <f>IF(Tabela5[[#This Row],[Dim_Cenario'[Nome Cenario']]]=Tabela5[[#Headers],[Realizado]],Tabela5[[#This Row],['[Valores_cenario']]],0)</f>
        <v>0</v>
      </c>
    </row>
    <row r="935" hidden="1" spans="1:16">
      <c r="A935" t="s">
        <v>17</v>
      </c>
      <c r="B935" t="s">
        <v>18</v>
      </c>
      <c r="C935" t="s">
        <v>19</v>
      </c>
      <c r="D935" t="s">
        <v>15</v>
      </c>
      <c r="E935">
        <v>2025</v>
      </c>
      <c r="F935" t="s">
        <v>21</v>
      </c>
      <c r="G935" t="s">
        <v>24</v>
      </c>
      <c r="H935">
        <v>11</v>
      </c>
      <c r="I935">
        <v>2262.09</v>
      </c>
      <c r="J935" t="s">
        <v>33</v>
      </c>
      <c r="K935" s="3">
        <v>45975</v>
      </c>
      <c r="L935" t="s">
        <v>615</v>
      </c>
      <c r="M935" t="s">
        <v>616</v>
      </c>
      <c r="N935" s="6">
        <f>IF(Tabela5[[#This Row],[Dim_Cenario'[Nome Cenario']]]=Tabela5[[#Headers],[INIC Atual]],Tabela5[[#This Row],['[Valores_cenario']]],0)</f>
        <v>0</v>
      </c>
      <c r="O935" s="6">
        <f>IF(Tabela5[[#This Row],[Dim_Cenario'[Nome Cenario']]]=Tabela5[[#Headers],[Revisado]],Tabela5[[#This Row],['[Valores_cenario']]],0)</f>
        <v>0</v>
      </c>
      <c r="P935" s="6">
        <f>IF(Tabela5[[#This Row],[Dim_Cenario'[Nome Cenario']]]=Tabela5[[#Headers],[Realizado]],Tabela5[[#This Row],['[Valores_cenario']]],0)</f>
        <v>2262.09</v>
      </c>
    </row>
    <row r="936" hidden="1" spans="1:16">
      <c r="A936" t="s">
        <v>17</v>
      </c>
      <c r="B936" t="s">
        <v>18</v>
      </c>
      <c r="C936" t="s">
        <v>19</v>
      </c>
      <c r="D936" t="s">
        <v>15</v>
      </c>
      <c r="E936">
        <v>2025</v>
      </c>
      <c r="F936" t="s">
        <v>21</v>
      </c>
      <c r="G936" t="s">
        <v>24</v>
      </c>
      <c r="H936">
        <v>11</v>
      </c>
      <c r="I936">
        <v>15037.91</v>
      </c>
      <c r="J936" t="s">
        <v>33</v>
      </c>
      <c r="K936" s="3">
        <v>45975</v>
      </c>
      <c r="L936" t="s">
        <v>615</v>
      </c>
      <c r="M936" t="s">
        <v>617</v>
      </c>
      <c r="N936" s="6">
        <f>IF(Tabela5[[#This Row],[Dim_Cenario'[Nome Cenario']]]=Tabela5[[#Headers],[INIC Atual]],Tabela5[[#This Row],['[Valores_cenario']]],0)</f>
        <v>0</v>
      </c>
      <c r="O936" s="6">
        <f>IF(Tabela5[[#This Row],[Dim_Cenario'[Nome Cenario']]]=Tabela5[[#Headers],[Revisado]],Tabela5[[#This Row],['[Valores_cenario']]],0)</f>
        <v>0</v>
      </c>
      <c r="P936" s="6">
        <f>IF(Tabela5[[#This Row],[Dim_Cenario'[Nome Cenario']]]=Tabela5[[#Headers],[Realizado]],Tabela5[[#This Row],['[Valores_cenario']]],0)</f>
        <v>15037.91</v>
      </c>
    </row>
    <row r="937" hidden="1" spans="1:16">
      <c r="A937" t="s">
        <v>17</v>
      </c>
      <c r="B937" t="s">
        <v>18</v>
      </c>
      <c r="C937" t="s">
        <v>37</v>
      </c>
      <c r="D937" t="s">
        <v>14</v>
      </c>
      <c r="E937">
        <v>2026</v>
      </c>
      <c r="F937" t="s">
        <v>21</v>
      </c>
      <c r="G937" t="s">
        <v>22</v>
      </c>
      <c r="H937">
        <v>10</v>
      </c>
      <c r="I937">
        <v>32323.34</v>
      </c>
      <c r="J937" t="s">
        <v>33</v>
      </c>
      <c r="K937" s="3"/>
      <c r="N937" s="6">
        <f>IF(Tabela5[[#This Row],[Dim_Cenario'[Nome Cenario']]]=Tabela5[[#Headers],[INIC Atual]],Tabela5[[#This Row],['[Valores_cenario']]],0)</f>
        <v>0</v>
      </c>
      <c r="O937" s="6">
        <f>IF(Tabela5[[#This Row],[Dim_Cenario'[Nome Cenario']]]=Tabela5[[#Headers],[Revisado]],Tabela5[[#This Row],['[Valores_cenario']]],0)</f>
        <v>32323.34</v>
      </c>
      <c r="P937" s="6">
        <f>IF(Tabela5[[#This Row],[Dim_Cenario'[Nome Cenario']]]=Tabela5[[#Headers],[Realizado]],Tabela5[[#This Row],['[Valores_cenario']]],0)</f>
        <v>0</v>
      </c>
    </row>
    <row r="938" hidden="1" spans="1:16">
      <c r="A938" t="s">
        <v>97</v>
      </c>
      <c r="B938" t="s">
        <v>18</v>
      </c>
      <c r="C938" t="s">
        <v>98</v>
      </c>
      <c r="D938" t="s">
        <v>15</v>
      </c>
      <c r="E938">
        <v>2025</v>
      </c>
      <c r="F938" t="s">
        <v>21</v>
      </c>
      <c r="G938" t="s">
        <v>24</v>
      </c>
      <c r="H938">
        <v>11</v>
      </c>
      <c r="I938">
        <v>93.41</v>
      </c>
      <c r="J938" t="s">
        <v>33</v>
      </c>
      <c r="K938" s="3">
        <v>45991</v>
      </c>
      <c r="L938" t="s">
        <v>50</v>
      </c>
      <c r="M938" t="s">
        <v>618</v>
      </c>
      <c r="N938" s="6">
        <f>IF(Tabela5[[#This Row],[Dim_Cenario'[Nome Cenario']]]=Tabela5[[#Headers],[INIC Atual]],Tabela5[[#This Row],['[Valores_cenario']]],0)</f>
        <v>0</v>
      </c>
      <c r="O938" s="6">
        <f>IF(Tabela5[[#This Row],[Dim_Cenario'[Nome Cenario']]]=Tabela5[[#Headers],[Revisado]],Tabela5[[#This Row],['[Valores_cenario']]],0)</f>
        <v>0</v>
      </c>
      <c r="P938" s="6">
        <f>IF(Tabela5[[#This Row],[Dim_Cenario'[Nome Cenario']]]=Tabela5[[#Headers],[Realizado]],Tabela5[[#This Row],['[Valores_cenario']]],0)</f>
        <v>93.41</v>
      </c>
    </row>
    <row r="939" hidden="1" spans="1:16">
      <c r="A939" t="s">
        <v>17</v>
      </c>
      <c r="B939" t="s">
        <v>18</v>
      </c>
      <c r="C939" t="s">
        <v>96</v>
      </c>
      <c r="D939" t="s">
        <v>15</v>
      </c>
      <c r="E939">
        <v>2025</v>
      </c>
      <c r="F939" t="s">
        <v>21</v>
      </c>
      <c r="G939" t="s">
        <v>32</v>
      </c>
      <c r="H939">
        <v>12</v>
      </c>
      <c r="I939">
        <v>101457.73</v>
      </c>
      <c r="J939" t="s">
        <v>33</v>
      </c>
      <c r="K939" s="3">
        <v>45994</v>
      </c>
      <c r="L939" t="s">
        <v>619</v>
      </c>
      <c r="M939" t="s">
        <v>620</v>
      </c>
      <c r="N939" s="6">
        <f>IF(Tabela5[[#This Row],[Dim_Cenario'[Nome Cenario']]]=Tabela5[[#Headers],[INIC Atual]],Tabela5[[#This Row],['[Valores_cenario']]],0)</f>
        <v>0</v>
      </c>
      <c r="O939" s="6">
        <f>IF(Tabela5[[#This Row],[Dim_Cenario'[Nome Cenario']]]=Tabela5[[#Headers],[Revisado]],Tabela5[[#This Row],['[Valores_cenario']]],0)</f>
        <v>0</v>
      </c>
      <c r="P939" s="6">
        <f>IF(Tabela5[[#This Row],[Dim_Cenario'[Nome Cenario']]]=Tabela5[[#Headers],[Realizado]],Tabela5[[#This Row],['[Valores_cenario']]],0)</f>
        <v>101457.73</v>
      </c>
    </row>
    <row r="940" hidden="1" spans="1:16">
      <c r="A940" t="s">
        <v>97</v>
      </c>
      <c r="B940" t="s">
        <v>18</v>
      </c>
      <c r="C940" t="s">
        <v>98</v>
      </c>
      <c r="D940" t="s">
        <v>15</v>
      </c>
      <c r="E940">
        <v>2025</v>
      </c>
      <c r="F940" t="s">
        <v>21</v>
      </c>
      <c r="G940" t="s">
        <v>32</v>
      </c>
      <c r="H940">
        <v>12</v>
      </c>
      <c r="I940">
        <v>-93.41</v>
      </c>
      <c r="J940" t="s">
        <v>33</v>
      </c>
      <c r="K940" s="3">
        <v>45999</v>
      </c>
      <c r="L940" t="s">
        <v>50</v>
      </c>
      <c r="M940" t="s">
        <v>618</v>
      </c>
      <c r="N940" s="6">
        <f>IF(Tabela5[[#This Row],[Dim_Cenario'[Nome Cenario']]]=Tabela5[[#Headers],[INIC Atual]],Tabela5[[#This Row],['[Valores_cenario']]],0)</f>
        <v>0</v>
      </c>
      <c r="O940" s="6">
        <f>IF(Tabela5[[#This Row],[Dim_Cenario'[Nome Cenario']]]=Tabela5[[#Headers],[Revisado]],Tabela5[[#This Row],['[Valores_cenario']]],0)</f>
        <v>0</v>
      </c>
      <c r="P940" s="6">
        <f>IF(Tabela5[[#This Row],[Dim_Cenario'[Nome Cenario']]]=Tabela5[[#Headers],[Realizado]],Tabela5[[#This Row],['[Valores_cenario']]],0)</f>
        <v>-93.41</v>
      </c>
    </row>
    <row r="941" hidden="1" spans="1:16">
      <c r="A941" t="s">
        <v>17</v>
      </c>
      <c r="B941" t="s">
        <v>18</v>
      </c>
      <c r="C941" t="s">
        <v>19</v>
      </c>
      <c r="D941" t="s">
        <v>15</v>
      </c>
      <c r="E941">
        <v>2025</v>
      </c>
      <c r="F941" t="s">
        <v>21</v>
      </c>
      <c r="G941" t="s">
        <v>32</v>
      </c>
      <c r="H941">
        <v>12</v>
      </c>
      <c r="I941">
        <v>12278.04</v>
      </c>
      <c r="J941" t="s">
        <v>33</v>
      </c>
      <c r="K941" s="3">
        <v>45999</v>
      </c>
      <c r="L941" t="s">
        <v>621</v>
      </c>
      <c r="M941" t="s">
        <v>622</v>
      </c>
      <c r="N941" s="6">
        <f>IF(Tabela5[[#This Row],[Dim_Cenario'[Nome Cenario']]]=Tabela5[[#Headers],[INIC Atual]],Tabela5[[#This Row],['[Valores_cenario']]],0)</f>
        <v>0</v>
      </c>
      <c r="O941" s="6">
        <f>IF(Tabela5[[#This Row],[Dim_Cenario'[Nome Cenario']]]=Tabela5[[#Headers],[Revisado]],Tabela5[[#This Row],['[Valores_cenario']]],0)</f>
        <v>0</v>
      </c>
      <c r="P941" s="6">
        <f>IF(Tabela5[[#This Row],[Dim_Cenario'[Nome Cenario']]]=Tabela5[[#Headers],[Realizado]],Tabela5[[#This Row],['[Valores_cenario']]],0)</f>
        <v>12278.04</v>
      </c>
    </row>
    <row r="942" hidden="1" spans="1:16">
      <c r="A942" t="s">
        <v>17</v>
      </c>
      <c r="B942" t="s">
        <v>18</v>
      </c>
      <c r="C942" t="s">
        <v>19</v>
      </c>
      <c r="D942" t="s">
        <v>15</v>
      </c>
      <c r="E942">
        <v>2025</v>
      </c>
      <c r="F942" t="s">
        <v>21</v>
      </c>
      <c r="G942" t="s">
        <v>32</v>
      </c>
      <c r="H942">
        <v>12</v>
      </c>
      <c r="I942">
        <v>81621.96</v>
      </c>
      <c r="J942" t="s">
        <v>33</v>
      </c>
      <c r="K942" s="3">
        <v>45999</v>
      </c>
      <c r="L942" t="s">
        <v>621</v>
      </c>
      <c r="M942" t="s">
        <v>623</v>
      </c>
      <c r="N942" s="6">
        <f>IF(Tabela5[[#This Row],[Dim_Cenario'[Nome Cenario']]]=Tabela5[[#Headers],[INIC Atual]],Tabela5[[#This Row],['[Valores_cenario']]],0)</f>
        <v>0</v>
      </c>
      <c r="O942" s="6">
        <f>IF(Tabela5[[#This Row],[Dim_Cenario'[Nome Cenario']]]=Tabela5[[#Headers],[Revisado]],Tabela5[[#This Row],['[Valores_cenario']]],0)</f>
        <v>0</v>
      </c>
      <c r="P942" s="6">
        <f>IF(Tabela5[[#This Row],[Dim_Cenario'[Nome Cenario']]]=Tabela5[[#Headers],[Realizado]],Tabela5[[#This Row],['[Valores_cenario']]],0)</f>
        <v>81621.96</v>
      </c>
    </row>
    <row r="943" hidden="1" spans="1:16">
      <c r="A943" t="s">
        <v>17</v>
      </c>
      <c r="B943" t="s">
        <v>18</v>
      </c>
      <c r="C943" t="s">
        <v>96</v>
      </c>
      <c r="D943" t="s">
        <v>15</v>
      </c>
      <c r="E943">
        <v>2025</v>
      </c>
      <c r="F943" t="s">
        <v>21</v>
      </c>
      <c r="G943" t="s">
        <v>32</v>
      </c>
      <c r="H943">
        <v>12</v>
      </c>
      <c r="I943">
        <v>44897.96</v>
      </c>
      <c r="J943" t="s">
        <v>33</v>
      </c>
      <c r="K943" s="3">
        <v>46003</v>
      </c>
      <c r="L943" t="s">
        <v>624</v>
      </c>
      <c r="M943" t="s">
        <v>625</v>
      </c>
      <c r="N943" s="6">
        <f>IF(Tabela5[[#This Row],[Dim_Cenario'[Nome Cenario']]]=Tabela5[[#Headers],[INIC Atual]],Tabela5[[#This Row],['[Valores_cenario']]],0)</f>
        <v>0</v>
      </c>
      <c r="O943" s="6">
        <f>IF(Tabela5[[#This Row],[Dim_Cenario'[Nome Cenario']]]=Tabela5[[#Headers],[Revisado]],Tabela5[[#This Row],['[Valores_cenario']]],0)</f>
        <v>0</v>
      </c>
      <c r="P943" s="6">
        <f>IF(Tabela5[[#This Row],[Dim_Cenario'[Nome Cenario']]]=Tabela5[[#Headers],[Realizado]],Tabela5[[#This Row],['[Valores_cenario']]],0)</f>
        <v>44897.96</v>
      </c>
    </row>
    <row r="944" hidden="1" spans="1:16">
      <c r="A944" t="s">
        <v>17</v>
      </c>
      <c r="B944" t="s">
        <v>18</v>
      </c>
      <c r="C944" t="s">
        <v>37</v>
      </c>
      <c r="D944" t="s">
        <v>14</v>
      </c>
      <c r="E944">
        <v>2026</v>
      </c>
      <c r="F944" t="s">
        <v>21</v>
      </c>
      <c r="G944" t="s">
        <v>24</v>
      </c>
      <c r="H944">
        <v>11</v>
      </c>
      <c r="I944">
        <v>32323.34</v>
      </c>
      <c r="J944" t="s">
        <v>33</v>
      </c>
      <c r="K944" s="3"/>
      <c r="N944" s="6">
        <f>IF(Tabela5[[#This Row],[Dim_Cenario'[Nome Cenario']]]=Tabela5[[#Headers],[INIC Atual]],Tabela5[[#This Row],['[Valores_cenario']]],0)</f>
        <v>0</v>
      </c>
      <c r="O944" s="6">
        <f>IF(Tabela5[[#This Row],[Dim_Cenario'[Nome Cenario']]]=Tabela5[[#Headers],[Revisado]],Tabela5[[#This Row],['[Valores_cenario']]],0)</f>
        <v>32323.34</v>
      </c>
      <c r="P944" s="6">
        <f>IF(Tabela5[[#This Row],[Dim_Cenario'[Nome Cenario']]]=Tabela5[[#Headers],[Realizado]],Tabela5[[#This Row],['[Valores_cenario']]],0)</f>
        <v>0</v>
      </c>
    </row>
    <row r="945" hidden="1" spans="1:16">
      <c r="A945" t="s">
        <v>17</v>
      </c>
      <c r="B945" t="s">
        <v>18</v>
      </c>
      <c r="C945" t="s">
        <v>19</v>
      </c>
      <c r="D945" t="s">
        <v>15</v>
      </c>
      <c r="E945">
        <v>2026</v>
      </c>
      <c r="F945" t="s">
        <v>25</v>
      </c>
      <c r="G945" t="s">
        <v>35</v>
      </c>
      <c r="H945">
        <v>1</v>
      </c>
      <c r="I945">
        <v>3295.06</v>
      </c>
      <c r="J945" t="s">
        <v>33</v>
      </c>
      <c r="K945" s="3">
        <v>46026</v>
      </c>
      <c r="L945" t="s">
        <v>626</v>
      </c>
      <c r="M945" t="s">
        <v>627</v>
      </c>
      <c r="N945" s="6">
        <f>IF(Tabela5[[#This Row],[Dim_Cenario'[Nome Cenario']]]=Tabela5[[#Headers],[INIC Atual]],Tabela5[[#This Row],['[Valores_cenario']]],0)</f>
        <v>0</v>
      </c>
      <c r="O945" s="6">
        <f>IF(Tabela5[[#This Row],[Dim_Cenario'[Nome Cenario']]]=Tabela5[[#Headers],[Revisado]],Tabela5[[#This Row],['[Valores_cenario']]],0)</f>
        <v>0</v>
      </c>
      <c r="P945" s="6">
        <f>IF(Tabela5[[#This Row],[Dim_Cenario'[Nome Cenario']]]=Tabela5[[#Headers],[Realizado]],Tabela5[[#This Row],['[Valores_cenario']]],0)</f>
        <v>3295.06</v>
      </c>
    </row>
    <row r="946" hidden="1" spans="1:16">
      <c r="A946" t="s">
        <v>17</v>
      </c>
      <c r="B946" t="s">
        <v>18</v>
      </c>
      <c r="C946" t="s">
        <v>19</v>
      </c>
      <c r="D946" t="s">
        <v>15</v>
      </c>
      <c r="E946">
        <v>2026</v>
      </c>
      <c r="F946" t="s">
        <v>25</v>
      </c>
      <c r="G946" t="s">
        <v>35</v>
      </c>
      <c r="H946">
        <v>1</v>
      </c>
      <c r="I946">
        <v>4099.21</v>
      </c>
      <c r="J946" t="s">
        <v>33</v>
      </c>
      <c r="K946" s="3">
        <v>46027</v>
      </c>
      <c r="L946" t="s">
        <v>628</v>
      </c>
      <c r="M946" t="s">
        <v>629</v>
      </c>
      <c r="N946" s="6">
        <f>IF(Tabela5[[#This Row],[Dim_Cenario'[Nome Cenario']]]=Tabela5[[#Headers],[INIC Atual]],Tabela5[[#This Row],['[Valores_cenario']]],0)</f>
        <v>0</v>
      </c>
      <c r="O946" s="6">
        <f>IF(Tabela5[[#This Row],[Dim_Cenario'[Nome Cenario']]]=Tabela5[[#Headers],[Revisado]],Tabela5[[#This Row],['[Valores_cenario']]],0)</f>
        <v>0</v>
      </c>
      <c r="P946" s="6">
        <f>IF(Tabela5[[#This Row],[Dim_Cenario'[Nome Cenario']]]=Tabela5[[#Headers],[Realizado]],Tabela5[[#This Row],['[Valores_cenario']]],0)</f>
        <v>4099.21</v>
      </c>
    </row>
    <row r="947" hidden="1" spans="1:16">
      <c r="A947" t="s">
        <v>17</v>
      </c>
      <c r="B947" t="s">
        <v>18</v>
      </c>
      <c r="C947" t="s">
        <v>19</v>
      </c>
      <c r="D947" t="s">
        <v>15</v>
      </c>
      <c r="E947">
        <v>2026</v>
      </c>
      <c r="F947" t="s">
        <v>25</v>
      </c>
      <c r="G947" t="s">
        <v>35</v>
      </c>
      <c r="H947">
        <v>1</v>
      </c>
      <c r="I947">
        <v>27250.79</v>
      </c>
      <c r="J947" t="s">
        <v>33</v>
      </c>
      <c r="K947" s="3">
        <v>46027</v>
      </c>
      <c r="L947" t="s">
        <v>628</v>
      </c>
      <c r="M947" t="s">
        <v>630</v>
      </c>
      <c r="N947" s="6">
        <f>IF(Tabela5[[#This Row],[Dim_Cenario'[Nome Cenario']]]=Tabela5[[#Headers],[INIC Atual]],Tabela5[[#This Row],['[Valores_cenario']]],0)</f>
        <v>0</v>
      </c>
      <c r="O947" s="6">
        <f>IF(Tabela5[[#This Row],[Dim_Cenario'[Nome Cenario']]]=Tabela5[[#Headers],[Revisado]],Tabela5[[#This Row],['[Valores_cenario']]],0)</f>
        <v>0</v>
      </c>
      <c r="P947" s="6">
        <f>IF(Tabela5[[#This Row],[Dim_Cenario'[Nome Cenario']]]=Tabela5[[#Headers],[Realizado]],Tabela5[[#This Row],['[Valores_cenario']]],0)</f>
        <v>27250.79</v>
      </c>
    </row>
    <row r="948" hidden="1" spans="1:16">
      <c r="A948" t="s">
        <v>17</v>
      </c>
      <c r="B948" t="s">
        <v>18</v>
      </c>
      <c r="C948" t="s">
        <v>19</v>
      </c>
      <c r="D948" t="s">
        <v>15</v>
      </c>
      <c r="E948">
        <v>2026</v>
      </c>
      <c r="F948" t="s">
        <v>25</v>
      </c>
      <c r="G948" t="s">
        <v>35</v>
      </c>
      <c r="H948">
        <v>1</v>
      </c>
      <c r="I948">
        <v>21904.94</v>
      </c>
      <c r="J948" t="s">
        <v>33</v>
      </c>
      <c r="K948" s="3">
        <v>46027</v>
      </c>
      <c r="L948" t="s">
        <v>626</v>
      </c>
      <c r="M948" t="s">
        <v>631</v>
      </c>
      <c r="N948" s="6">
        <f>IF(Tabela5[[#This Row],[Dim_Cenario'[Nome Cenario']]]=Tabela5[[#Headers],[INIC Atual]],Tabela5[[#This Row],['[Valores_cenario']]],0)</f>
        <v>0</v>
      </c>
      <c r="O948" s="6">
        <f>IF(Tabela5[[#This Row],[Dim_Cenario'[Nome Cenario']]]=Tabela5[[#Headers],[Revisado]],Tabela5[[#This Row],['[Valores_cenario']]],0)</f>
        <v>0</v>
      </c>
      <c r="P948" s="6">
        <f>IF(Tabela5[[#This Row],[Dim_Cenario'[Nome Cenario']]]=Tabela5[[#Headers],[Realizado]],Tabela5[[#This Row],['[Valores_cenario']]],0)</f>
        <v>21904.94</v>
      </c>
    </row>
    <row r="949" hidden="1" spans="1:16">
      <c r="A949" t="s">
        <v>17</v>
      </c>
      <c r="B949" t="s">
        <v>18</v>
      </c>
      <c r="C949" t="s">
        <v>96</v>
      </c>
      <c r="D949" t="s">
        <v>15</v>
      </c>
      <c r="E949">
        <v>2026</v>
      </c>
      <c r="F949" t="s">
        <v>25</v>
      </c>
      <c r="G949" t="s">
        <v>35</v>
      </c>
      <c r="H949">
        <v>1</v>
      </c>
      <c r="I949">
        <v>96209.91</v>
      </c>
      <c r="J949" t="s">
        <v>33</v>
      </c>
      <c r="K949" s="3">
        <v>46041</v>
      </c>
      <c r="L949" t="s">
        <v>632</v>
      </c>
      <c r="M949" t="s">
        <v>633</v>
      </c>
      <c r="N949" s="6">
        <f>IF(Tabela5[[#This Row],[Dim_Cenario'[Nome Cenario']]]=Tabela5[[#Headers],[INIC Atual]],Tabela5[[#This Row],['[Valores_cenario']]],0)</f>
        <v>0</v>
      </c>
      <c r="O949" s="6">
        <f>IF(Tabela5[[#This Row],[Dim_Cenario'[Nome Cenario']]]=Tabela5[[#Headers],[Revisado]],Tabela5[[#This Row],['[Valores_cenario']]],0)</f>
        <v>0</v>
      </c>
      <c r="P949" s="6">
        <f>IF(Tabela5[[#This Row],[Dim_Cenario'[Nome Cenario']]]=Tabela5[[#Headers],[Realizado]],Tabela5[[#This Row],['[Valores_cenario']]],0)</f>
        <v>96209.91</v>
      </c>
    </row>
    <row r="950" hidden="1" spans="1:16">
      <c r="A950" t="s">
        <v>97</v>
      </c>
      <c r="B950" t="s">
        <v>18</v>
      </c>
      <c r="C950" t="s">
        <v>98</v>
      </c>
      <c r="D950" t="s">
        <v>15</v>
      </c>
      <c r="E950">
        <v>2026</v>
      </c>
      <c r="F950" t="s">
        <v>25</v>
      </c>
      <c r="G950" t="s">
        <v>35</v>
      </c>
      <c r="H950">
        <v>1</v>
      </c>
      <c r="I950">
        <v>93.41</v>
      </c>
      <c r="J950" t="s">
        <v>33</v>
      </c>
      <c r="K950" s="3">
        <v>46053</v>
      </c>
      <c r="L950" t="s">
        <v>50</v>
      </c>
      <c r="M950" t="s">
        <v>634</v>
      </c>
      <c r="N950" s="6">
        <f>IF(Tabela5[[#This Row],[Dim_Cenario'[Nome Cenario']]]=Tabela5[[#Headers],[INIC Atual]],Tabela5[[#This Row],['[Valores_cenario']]],0)</f>
        <v>0</v>
      </c>
      <c r="O950" s="6">
        <f>IF(Tabela5[[#This Row],[Dim_Cenario'[Nome Cenario']]]=Tabela5[[#Headers],[Revisado]],Tabela5[[#This Row],['[Valores_cenario']]],0)</f>
        <v>0</v>
      </c>
      <c r="P950" s="6">
        <f>IF(Tabela5[[#This Row],[Dim_Cenario'[Nome Cenario']]]=Tabela5[[#Headers],[Realizado]],Tabela5[[#This Row],['[Valores_cenario']]],0)</f>
        <v>93.41</v>
      </c>
    </row>
    <row r="951" hidden="1" spans="1:16">
      <c r="A951" t="s">
        <v>97</v>
      </c>
      <c r="B951" t="s">
        <v>18</v>
      </c>
      <c r="C951" t="s">
        <v>98</v>
      </c>
      <c r="D951" t="s">
        <v>15</v>
      </c>
      <c r="E951">
        <v>2026</v>
      </c>
      <c r="F951" t="s">
        <v>25</v>
      </c>
      <c r="G951" t="s">
        <v>26</v>
      </c>
      <c r="H951">
        <v>2</v>
      </c>
      <c r="I951">
        <v>-93.41</v>
      </c>
      <c r="J951" t="s">
        <v>33</v>
      </c>
      <c r="K951" s="3">
        <v>46057</v>
      </c>
      <c r="L951" t="s">
        <v>50</v>
      </c>
      <c r="M951" t="s">
        <v>634</v>
      </c>
      <c r="N951" s="6">
        <f>IF(Tabela5[[#This Row],[Dim_Cenario'[Nome Cenario']]]=Tabela5[[#Headers],[INIC Atual]],Tabela5[[#This Row],['[Valores_cenario']]],0)</f>
        <v>0</v>
      </c>
      <c r="O951" s="6">
        <f>IF(Tabela5[[#This Row],[Dim_Cenario'[Nome Cenario']]]=Tabela5[[#Headers],[Revisado]],Tabela5[[#This Row],['[Valores_cenario']]],0)</f>
        <v>0</v>
      </c>
      <c r="P951" s="6">
        <f>IF(Tabela5[[#This Row],[Dim_Cenario'[Nome Cenario']]]=Tabela5[[#Headers],[Realizado]],Tabela5[[#This Row],['[Valores_cenario']]],0)</f>
        <v>-93.41</v>
      </c>
    </row>
    <row r="952" hidden="1" spans="1:16">
      <c r="A952" t="s">
        <v>17</v>
      </c>
      <c r="B952" t="s">
        <v>18</v>
      </c>
      <c r="C952" t="s">
        <v>96</v>
      </c>
      <c r="D952" t="s">
        <v>15</v>
      </c>
      <c r="E952">
        <v>2026</v>
      </c>
      <c r="F952" t="s">
        <v>25</v>
      </c>
      <c r="G952" t="s">
        <v>26</v>
      </c>
      <c r="H952">
        <v>2</v>
      </c>
      <c r="I952">
        <v>96209.91</v>
      </c>
      <c r="J952" t="s">
        <v>33</v>
      </c>
      <c r="K952" s="3">
        <v>46073</v>
      </c>
      <c r="L952" t="s">
        <v>635</v>
      </c>
      <c r="M952" t="s">
        <v>636</v>
      </c>
      <c r="N952" s="6">
        <f>IF(Tabela5[[#This Row],[Dim_Cenario'[Nome Cenario']]]=Tabela5[[#Headers],[INIC Atual]],Tabela5[[#This Row],['[Valores_cenario']]],0)</f>
        <v>0</v>
      </c>
      <c r="O952" s="6">
        <f>IF(Tabela5[[#This Row],[Dim_Cenario'[Nome Cenario']]]=Tabela5[[#Headers],[Revisado]],Tabela5[[#This Row],['[Valores_cenario']]],0)</f>
        <v>0</v>
      </c>
      <c r="P952" s="6">
        <f>IF(Tabela5[[#This Row],[Dim_Cenario'[Nome Cenario']]]=Tabela5[[#Headers],[Realizado]],Tabela5[[#This Row],['[Valores_cenario']]],0)</f>
        <v>96209.91</v>
      </c>
    </row>
    <row r="953" hidden="1" spans="1:16">
      <c r="A953" t="s">
        <v>97</v>
      </c>
      <c r="B953" t="s">
        <v>18</v>
      </c>
      <c r="C953" t="s">
        <v>98</v>
      </c>
      <c r="D953" t="s">
        <v>15</v>
      </c>
      <c r="E953">
        <v>2026</v>
      </c>
      <c r="F953" t="s">
        <v>25</v>
      </c>
      <c r="G953" t="s">
        <v>26</v>
      </c>
      <c r="H953">
        <v>2</v>
      </c>
      <c r="I953">
        <v>93.41</v>
      </c>
      <c r="J953" t="s">
        <v>33</v>
      </c>
      <c r="K953" s="3">
        <v>46081</v>
      </c>
      <c r="L953" t="s">
        <v>50</v>
      </c>
      <c r="M953" t="s">
        <v>637</v>
      </c>
      <c r="N953" s="6">
        <f>IF(Tabela5[[#This Row],[Dim_Cenario'[Nome Cenario']]]=Tabela5[[#Headers],[INIC Atual]],Tabela5[[#This Row],['[Valores_cenario']]],0)</f>
        <v>0</v>
      </c>
      <c r="O953" s="6">
        <f>IF(Tabela5[[#This Row],[Dim_Cenario'[Nome Cenario']]]=Tabela5[[#Headers],[Revisado]],Tabela5[[#This Row],['[Valores_cenario']]],0)</f>
        <v>0</v>
      </c>
      <c r="P953" s="6">
        <f>IF(Tabela5[[#This Row],[Dim_Cenario'[Nome Cenario']]]=Tabela5[[#Headers],[Realizado]],Tabela5[[#This Row],['[Valores_cenario']]],0)</f>
        <v>93.41</v>
      </c>
    </row>
    <row r="954" hidden="1" spans="1:16">
      <c r="A954" t="s">
        <v>17</v>
      </c>
      <c r="B954" t="s">
        <v>18</v>
      </c>
      <c r="C954" t="s">
        <v>96</v>
      </c>
      <c r="D954" t="s">
        <v>15</v>
      </c>
      <c r="E954">
        <v>2026</v>
      </c>
      <c r="F954" t="s">
        <v>25</v>
      </c>
      <c r="G954" t="s">
        <v>38</v>
      </c>
      <c r="H954">
        <v>3</v>
      </c>
      <c r="I954">
        <v>152186.59</v>
      </c>
      <c r="J954" t="s">
        <v>33</v>
      </c>
      <c r="K954" s="3">
        <v>46085</v>
      </c>
      <c r="L954" t="s">
        <v>638</v>
      </c>
      <c r="M954" t="s">
        <v>639</v>
      </c>
      <c r="N954" s="6">
        <f>IF(Tabela5[[#This Row],[Dim_Cenario'[Nome Cenario']]]=Tabela5[[#Headers],[INIC Atual]],Tabela5[[#This Row],['[Valores_cenario']]],0)</f>
        <v>0</v>
      </c>
      <c r="O954" s="6">
        <f>IF(Tabela5[[#This Row],[Dim_Cenario'[Nome Cenario']]]=Tabela5[[#Headers],[Revisado]],Tabela5[[#This Row],['[Valores_cenario']]],0)</f>
        <v>0</v>
      </c>
      <c r="P954" s="6">
        <f>IF(Tabela5[[#This Row],[Dim_Cenario'[Nome Cenario']]]=Tabela5[[#Headers],[Realizado]],Tabela5[[#This Row],['[Valores_cenario']]],0)</f>
        <v>152186.59</v>
      </c>
    </row>
    <row r="955" hidden="1" spans="1:16">
      <c r="A955" t="s">
        <v>97</v>
      </c>
      <c r="B955" t="s">
        <v>18</v>
      </c>
      <c r="C955" t="s">
        <v>98</v>
      </c>
      <c r="D955" t="s">
        <v>15</v>
      </c>
      <c r="E955">
        <v>2026</v>
      </c>
      <c r="F955" t="s">
        <v>25</v>
      </c>
      <c r="G955" t="s">
        <v>38</v>
      </c>
      <c r="H955">
        <v>3</v>
      </c>
      <c r="I955">
        <v>-93.41</v>
      </c>
      <c r="J955" t="s">
        <v>33</v>
      </c>
      <c r="K955" s="3">
        <v>46094</v>
      </c>
      <c r="L955" t="s">
        <v>50</v>
      </c>
      <c r="M955" t="s">
        <v>637</v>
      </c>
      <c r="N955" s="6">
        <f>IF(Tabela5[[#This Row],[Dim_Cenario'[Nome Cenario']]]=Tabela5[[#Headers],[INIC Atual]],Tabela5[[#This Row],['[Valores_cenario']]],0)</f>
        <v>0</v>
      </c>
      <c r="O955" s="6">
        <f>IF(Tabela5[[#This Row],[Dim_Cenario'[Nome Cenario']]]=Tabela5[[#Headers],[Revisado]],Tabela5[[#This Row],['[Valores_cenario']]],0)</f>
        <v>0</v>
      </c>
      <c r="P955" s="6">
        <f>IF(Tabela5[[#This Row],[Dim_Cenario'[Nome Cenario']]]=Tabela5[[#Headers],[Realizado]],Tabela5[[#This Row],['[Valores_cenario']]],0)</f>
        <v>-93.41</v>
      </c>
    </row>
    <row r="956" hidden="1" spans="1:16">
      <c r="A956" t="s">
        <v>17</v>
      </c>
      <c r="B956" t="s">
        <v>18</v>
      </c>
      <c r="C956" t="s">
        <v>37</v>
      </c>
      <c r="D956" t="s">
        <v>14</v>
      </c>
      <c r="E956">
        <v>2026</v>
      </c>
      <c r="F956" t="s">
        <v>21</v>
      </c>
      <c r="G956" t="s">
        <v>32</v>
      </c>
      <c r="H956">
        <v>12</v>
      </c>
      <c r="I956">
        <v>32323.34</v>
      </c>
      <c r="J956" t="s">
        <v>33</v>
      </c>
      <c r="K956" s="3"/>
      <c r="N956" s="6">
        <f>IF(Tabela5[[#This Row],[Dim_Cenario'[Nome Cenario']]]=Tabela5[[#Headers],[INIC Atual]],Tabela5[[#This Row],['[Valores_cenario']]],0)</f>
        <v>0</v>
      </c>
      <c r="O956" s="6">
        <f>IF(Tabela5[[#This Row],[Dim_Cenario'[Nome Cenario']]]=Tabela5[[#Headers],[Revisado]],Tabela5[[#This Row],['[Valores_cenario']]],0)</f>
        <v>32323.34</v>
      </c>
      <c r="P956" s="6">
        <f>IF(Tabela5[[#This Row],[Dim_Cenario'[Nome Cenario']]]=Tabela5[[#Headers],[Realizado]],Tabela5[[#This Row],['[Valores_cenario']]],0)</f>
        <v>0</v>
      </c>
    </row>
    <row r="957" hidden="1" spans="1:16">
      <c r="A957" t="s">
        <v>97</v>
      </c>
      <c r="B957" t="s">
        <v>18</v>
      </c>
      <c r="C957" t="s">
        <v>98</v>
      </c>
      <c r="D957" t="s">
        <v>15</v>
      </c>
      <c r="E957">
        <v>2026</v>
      </c>
      <c r="F957" t="s">
        <v>25</v>
      </c>
      <c r="G957" t="s">
        <v>38</v>
      </c>
      <c r="H957">
        <v>3</v>
      </c>
      <c r="I957">
        <v>93.41</v>
      </c>
      <c r="J957" t="s">
        <v>33</v>
      </c>
      <c r="K957" s="3">
        <v>46112</v>
      </c>
      <c r="L957" t="s">
        <v>50</v>
      </c>
      <c r="M957" t="s">
        <v>640</v>
      </c>
      <c r="N957" s="6">
        <f>IF(Tabela5[[#This Row],[Dim_Cenario'[Nome Cenario']]]=Tabela5[[#Headers],[INIC Atual]],Tabela5[[#This Row],['[Valores_cenario']]],0)</f>
        <v>0</v>
      </c>
      <c r="O957" s="6">
        <f>IF(Tabela5[[#This Row],[Dim_Cenario'[Nome Cenario']]]=Tabela5[[#Headers],[Revisado]],Tabela5[[#This Row],['[Valores_cenario']]],0)</f>
        <v>0</v>
      </c>
      <c r="P957" s="6">
        <f>IF(Tabela5[[#This Row],[Dim_Cenario'[Nome Cenario']]]=Tabela5[[#Headers],[Realizado]],Tabela5[[#This Row],['[Valores_cenario']]],0)</f>
        <v>93.41</v>
      </c>
    </row>
    <row r="958" hidden="1" spans="1:16">
      <c r="A958" t="s">
        <v>97</v>
      </c>
      <c r="B958" t="s">
        <v>18</v>
      </c>
      <c r="C958" t="s">
        <v>98</v>
      </c>
      <c r="D958" t="s">
        <v>15</v>
      </c>
      <c r="E958">
        <v>2026</v>
      </c>
      <c r="F958" t="s">
        <v>27</v>
      </c>
      <c r="G958" t="s">
        <v>28</v>
      </c>
      <c r="H958">
        <v>4</v>
      </c>
      <c r="I958">
        <v>-93.41</v>
      </c>
      <c r="J958" t="s">
        <v>33</v>
      </c>
      <c r="K958" s="3">
        <v>46113</v>
      </c>
      <c r="L958" t="s">
        <v>50</v>
      </c>
      <c r="M958" t="s">
        <v>640</v>
      </c>
      <c r="N958" s="6">
        <f>IF(Tabela5[[#This Row],[Dim_Cenario'[Nome Cenario']]]=Tabela5[[#Headers],[INIC Atual]],Tabela5[[#This Row],['[Valores_cenario']]],0)</f>
        <v>0</v>
      </c>
      <c r="O958" s="6">
        <f>IF(Tabela5[[#This Row],[Dim_Cenario'[Nome Cenario']]]=Tabela5[[#Headers],[Revisado]],Tabela5[[#This Row],['[Valores_cenario']]],0)</f>
        <v>0</v>
      </c>
      <c r="P958" s="6">
        <f>IF(Tabela5[[#This Row],[Dim_Cenario'[Nome Cenario']]]=Tabela5[[#Headers],[Realizado]],Tabela5[[#This Row],['[Valores_cenario']]],0)</f>
        <v>-93.41</v>
      </c>
    </row>
    <row r="959" spans="1:16">
      <c r="A959" t="s">
        <v>17</v>
      </c>
      <c r="B959" t="s">
        <v>18</v>
      </c>
      <c r="C959" t="s">
        <v>37</v>
      </c>
      <c r="D959" t="s">
        <v>15</v>
      </c>
      <c r="E959">
        <v>2019</v>
      </c>
      <c r="F959" t="s">
        <v>21</v>
      </c>
      <c r="G959" t="s">
        <v>22</v>
      </c>
      <c r="H959">
        <v>10</v>
      </c>
      <c r="I959">
        <v>115.5</v>
      </c>
      <c r="J959" t="s">
        <v>36</v>
      </c>
      <c r="K959" s="3">
        <v>43759</v>
      </c>
      <c r="L959" t="s">
        <v>50</v>
      </c>
      <c r="M959" t="s">
        <v>641</v>
      </c>
      <c r="N959" s="6">
        <f>IF(Tabela5[[#This Row],[Dim_Cenario'[Nome Cenario']]]=Tabela5[[#Headers],[INIC Atual]],Tabela5[[#This Row],['[Valores_cenario']]],0)</f>
        <v>0</v>
      </c>
      <c r="O959" s="6">
        <f>IF(Tabela5[[#This Row],[Dim_Cenario'[Nome Cenario']]]=Tabela5[[#Headers],[Revisado]],Tabela5[[#This Row],['[Valores_cenario']]],0)</f>
        <v>0</v>
      </c>
      <c r="P959" s="6">
        <f>IF(Tabela5[[#This Row],[Dim_Cenario'[Nome Cenario']]]=Tabela5[[#Headers],[Realizado]],Tabela5[[#This Row],['[Valores_cenario']]],0)</f>
        <v>115.5</v>
      </c>
    </row>
    <row r="960" hidden="1" spans="1:16">
      <c r="A960" t="s">
        <v>17</v>
      </c>
      <c r="B960" t="s">
        <v>18</v>
      </c>
      <c r="C960" t="s">
        <v>96</v>
      </c>
      <c r="D960" t="s">
        <v>15</v>
      </c>
      <c r="E960">
        <v>2026</v>
      </c>
      <c r="F960" t="s">
        <v>27</v>
      </c>
      <c r="G960" t="s">
        <v>28</v>
      </c>
      <c r="H960">
        <v>4</v>
      </c>
      <c r="I960">
        <v>44897.96</v>
      </c>
      <c r="J960" t="s">
        <v>33</v>
      </c>
      <c r="K960" s="3">
        <v>46122</v>
      </c>
      <c r="L960" t="s">
        <v>642</v>
      </c>
      <c r="M960" t="s">
        <v>643</v>
      </c>
      <c r="N960" s="6">
        <f>IF(Tabela5[[#This Row],[Dim_Cenario'[Nome Cenario']]]=Tabela5[[#Headers],[INIC Atual]],Tabela5[[#This Row],['[Valores_cenario']]],0)</f>
        <v>0</v>
      </c>
      <c r="O960" s="6">
        <f>IF(Tabela5[[#This Row],[Dim_Cenario'[Nome Cenario']]]=Tabela5[[#Headers],[Revisado]],Tabela5[[#This Row],['[Valores_cenario']]],0)</f>
        <v>0</v>
      </c>
      <c r="P960" s="6">
        <f>IF(Tabela5[[#This Row],[Dim_Cenario'[Nome Cenario']]]=Tabela5[[#Headers],[Realizado]],Tabela5[[#This Row],['[Valores_cenario']]],0)</f>
        <v>44897.96</v>
      </c>
    </row>
    <row r="961" spans="1:16">
      <c r="A961" t="s">
        <v>17</v>
      </c>
      <c r="B961" t="s">
        <v>18</v>
      </c>
      <c r="C961" t="s">
        <v>37</v>
      </c>
      <c r="D961" t="s">
        <v>15</v>
      </c>
      <c r="E961">
        <v>2022</v>
      </c>
      <c r="F961" t="s">
        <v>21</v>
      </c>
      <c r="G961" t="s">
        <v>24</v>
      </c>
      <c r="H961">
        <v>11</v>
      </c>
      <c r="I961">
        <v>60</v>
      </c>
      <c r="J961" t="s">
        <v>23</v>
      </c>
      <c r="K961" s="3">
        <v>44887</v>
      </c>
      <c r="L961" t="s">
        <v>644</v>
      </c>
      <c r="M961" t="s">
        <v>645</v>
      </c>
      <c r="N961" s="6">
        <f>IF(Tabela5[[#This Row],[Dim_Cenario'[Nome Cenario']]]=Tabela5[[#Headers],[INIC Atual]],Tabela5[[#This Row],['[Valores_cenario']]],0)</f>
        <v>0</v>
      </c>
      <c r="O961" s="6">
        <f>IF(Tabela5[[#This Row],[Dim_Cenario'[Nome Cenario']]]=Tabela5[[#Headers],[Revisado]],Tabela5[[#This Row],['[Valores_cenario']]],0)</f>
        <v>0</v>
      </c>
      <c r="P961" s="6">
        <f>IF(Tabela5[[#This Row],[Dim_Cenario'[Nome Cenario']]]=Tabela5[[#Headers],[Realizado]],Tabela5[[#This Row],['[Valores_cenario']]],0)</f>
        <v>60</v>
      </c>
    </row>
    <row r="962" hidden="1" spans="1:16">
      <c r="A962" t="s">
        <v>17</v>
      </c>
      <c r="B962" t="s">
        <v>18</v>
      </c>
      <c r="C962" t="s">
        <v>37</v>
      </c>
      <c r="D962" t="s">
        <v>20</v>
      </c>
      <c r="E962">
        <v>2027</v>
      </c>
      <c r="F962" t="s">
        <v>25</v>
      </c>
      <c r="G962" t="s">
        <v>35</v>
      </c>
      <c r="H962">
        <v>1</v>
      </c>
      <c r="I962">
        <v>40055.15</v>
      </c>
      <c r="J962" t="s">
        <v>33</v>
      </c>
      <c r="K962" s="3"/>
      <c r="N962" s="6">
        <f>IF(Tabela5[[#This Row],[Dim_Cenario'[Nome Cenario']]]=Tabela5[[#Headers],[INIC Atual]],Tabela5[[#This Row],['[Valores_cenario']]],0)</f>
        <v>40055.15</v>
      </c>
      <c r="O962" s="6">
        <f>IF(Tabela5[[#This Row],[Dim_Cenario'[Nome Cenario']]]=Tabela5[[#Headers],[Revisado]],Tabela5[[#This Row],['[Valores_cenario']]],0)</f>
        <v>0</v>
      </c>
      <c r="P962" s="6">
        <f>IF(Tabela5[[#This Row],[Dim_Cenario'[Nome Cenario']]]=Tabela5[[#Headers],[Realizado]],Tabela5[[#This Row],['[Valores_cenario']]],0)</f>
        <v>0</v>
      </c>
    </row>
    <row r="963" hidden="1" spans="1:16">
      <c r="A963" t="s">
        <v>17</v>
      </c>
      <c r="B963" t="s">
        <v>18</v>
      </c>
      <c r="C963" t="s">
        <v>37</v>
      </c>
      <c r="D963" t="s">
        <v>20</v>
      </c>
      <c r="E963">
        <v>2027</v>
      </c>
      <c r="F963" t="s">
        <v>25</v>
      </c>
      <c r="G963" t="s">
        <v>26</v>
      </c>
      <c r="H963">
        <v>2</v>
      </c>
      <c r="I963">
        <v>40055.15</v>
      </c>
      <c r="J963" t="s">
        <v>33</v>
      </c>
      <c r="K963" s="3"/>
      <c r="N963" s="6">
        <f>IF(Tabela5[[#This Row],[Dim_Cenario'[Nome Cenario']]]=Tabela5[[#Headers],[INIC Atual]],Tabela5[[#This Row],['[Valores_cenario']]],0)</f>
        <v>40055.15</v>
      </c>
      <c r="O963" s="6">
        <f>IF(Tabela5[[#This Row],[Dim_Cenario'[Nome Cenario']]]=Tabela5[[#Headers],[Revisado]],Tabela5[[#This Row],['[Valores_cenario']]],0)</f>
        <v>0</v>
      </c>
      <c r="P963" s="6">
        <f>IF(Tabela5[[#This Row],[Dim_Cenario'[Nome Cenario']]]=Tabela5[[#Headers],[Realizado]],Tabela5[[#This Row],['[Valores_cenario']]],0)</f>
        <v>0</v>
      </c>
    </row>
    <row r="964" hidden="1" spans="1:16">
      <c r="A964" t="s">
        <v>17</v>
      </c>
      <c r="B964" t="s">
        <v>18</v>
      </c>
      <c r="C964" t="s">
        <v>37</v>
      </c>
      <c r="D964" t="s">
        <v>20</v>
      </c>
      <c r="E964">
        <v>2027</v>
      </c>
      <c r="F964" t="s">
        <v>25</v>
      </c>
      <c r="G964" t="s">
        <v>38</v>
      </c>
      <c r="H964">
        <v>3</v>
      </c>
      <c r="I964">
        <v>40055.15</v>
      </c>
      <c r="J964" t="s">
        <v>33</v>
      </c>
      <c r="K964" s="3"/>
      <c r="N964" s="6">
        <f>IF(Tabela5[[#This Row],[Dim_Cenario'[Nome Cenario']]]=Tabela5[[#Headers],[INIC Atual]],Tabela5[[#This Row],['[Valores_cenario']]],0)</f>
        <v>40055.15</v>
      </c>
      <c r="O964" s="6">
        <f>IF(Tabela5[[#This Row],[Dim_Cenario'[Nome Cenario']]]=Tabela5[[#Headers],[Revisado]],Tabela5[[#This Row],['[Valores_cenario']]],0)</f>
        <v>0</v>
      </c>
      <c r="P964" s="6">
        <f>IF(Tabela5[[#This Row],[Dim_Cenario'[Nome Cenario']]]=Tabela5[[#Headers],[Realizado]],Tabela5[[#This Row],['[Valores_cenario']]],0)</f>
        <v>0</v>
      </c>
    </row>
    <row r="965" hidden="1" spans="1:16">
      <c r="A965" t="s">
        <v>17</v>
      </c>
      <c r="B965" t="s">
        <v>18</v>
      </c>
      <c r="C965" t="s">
        <v>37</v>
      </c>
      <c r="D965" t="s">
        <v>20</v>
      </c>
      <c r="E965">
        <v>2027</v>
      </c>
      <c r="F965" t="s">
        <v>27</v>
      </c>
      <c r="G965" t="s">
        <v>28</v>
      </c>
      <c r="H965">
        <v>4</v>
      </c>
      <c r="I965">
        <v>40055.15</v>
      </c>
      <c r="J965" t="s">
        <v>33</v>
      </c>
      <c r="K965" s="3"/>
      <c r="N965" s="6">
        <f>IF(Tabela5[[#This Row],[Dim_Cenario'[Nome Cenario']]]=Tabela5[[#Headers],[INIC Atual]],Tabela5[[#This Row],['[Valores_cenario']]],0)</f>
        <v>40055.15</v>
      </c>
      <c r="O965" s="6">
        <f>IF(Tabela5[[#This Row],[Dim_Cenario'[Nome Cenario']]]=Tabela5[[#Headers],[Revisado]],Tabela5[[#This Row],['[Valores_cenario']]],0)</f>
        <v>0</v>
      </c>
      <c r="P965" s="6">
        <f>IF(Tabela5[[#This Row],[Dim_Cenario'[Nome Cenario']]]=Tabela5[[#Headers],[Realizado]],Tabela5[[#This Row],['[Valores_cenario']]],0)</f>
        <v>0</v>
      </c>
    </row>
    <row r="966" hidden="1" spans="1:16">
      <c r="A966" t="s">
        <v>17</v>
      </c>
      <c r="B966" t="s">
        <v>18</v>
      </c>
      <c r="C966" t="s">
        <v>37</v>
      </c>
      <c r="D966" t="s">
        <v>20</v>
      </c>
      <c r="E966">
        <v>2027</v>
      </c>
      <c r="F966" t="s">
        <v>27</v>
      </c>
      <c r="G966" t="s">
        <v>39</v>
      </c>
      <c r="H966">
        <v>5</v>
      </c>
      <c r="I966">
        <v>40055.15</v>
      </c>
      <c r="J966" t="s">
        <v>33</v>
      </c>
      <c r="K966" s="3"/>
      <c r="N966" s="6">
        <f>IF(Tabela5[[#This Row],[Dim_Cenario'[Nome Cenario']]]=Tabela5[[#Headers],[INIC Atual]],Tabela5[[#This Row],['[Valores_cenario']]],0)</f>
        <v>40055.15</v>
      </c>
      <c r="O966" s="6">
        <f>IF(Tabela5[[#This Row],[Dim_Cenario'[Nome Cenario']]]=Tabela5[[#Headers],[Revisado]],Tabela5[[#This Row],['[Valores_cenario']]],0)</f>
        <v>0</v>
      </c>
      <c r="P966" s="6">
        <f>IF(Tabela5[[#This Row],[Dim_Cenario'[Nome Cenario']]]=Tabela5[[#Headers],[Realizado]],Tabela5[[#This Row],['[Valores_cenario']]],0)</f>
        <v>0</v>
      </c>
    </row>
    <row r="967" hidden="1" spans="1:16">
      <c r="A967" t="s">
        <v>17</v>
      </c>
      <c r="B967" t="s">
        <v>18</v>
      </c>
      <c r="C967" t="s">
        <v>37</v>
      </c>
      <c r="D967" t="s">
        <v>20</v>
      </c>
      <c r="E967">
        <v>2027</v>
      </c>
      <c r="F967" t="s">
        <v>27</v>
      </c>
      <c r="G967" t="s">
        <v>29</v>
      </c>
      <c r="H967">
        <v>6</v>
      </c>
      <c r="I967">
        <v>40055.15</v>
      </c>
      <c r="J967" t="s">
        <v>33</v>
      </c>
      <c r="K967" s="3"/>
      <c r="N967" s="6">
        <f>IF(Tabela5[[#This Row],[Dim_Cenario'[Nome Cenario']]]=Tabela5[[#Headers],[INIC Atual]],Tabela5[[#This Row],['[Valores_cenario']]],0)</f>
        <v>40055.15</v>
      </c>
      <c r="O967" s="6">
        <f>IF(Tabela5[[#This Row],[Dim_Cenario'[Nome Cenario']]]=Tabela5[[#Headers],[Revisado]],Tabela5[[#This Row],['[Valores_cenario']]],0)</f>
        <v>0</v>
      </c>
      <c r="P967" s="6">
        <f>IF(Tabela5[[#This Row],[Dim_Cenario'[Nome Cenario']]]=Tabela5[[#Headers],[Realizado]],Tabela5[[#This Row],['[Valores_cenario']]],0)</f>
        <v>0</v>
      </c>
    </row>
    <row r="968" hidden="1" spans="1:16">
      <c r="A968" t="s">
        <v>17</v>
      </c>
      <c r="B968" t="s">
        <v>18</v>
      </c>
      <c r="C968" t="s">
        <v>37</v>
      </c>
      <c r="D968" t="s">
        <v>20</v>
      </c>
      <c r="E968">
        <v>2027</v>
      </c>
      <c r="F968" t="s">
        <v>30</v>
      </c>
      <c r="G968" t="s">
        <v>40</v>
      </c>
      <c r="H968">
        <v>7</v>
      </c>
      <c r="I968">
        <v>72439.73</v>
      </c>
      <c r="J968" t="s">
        <v>33</v>
      </c>
      <c r="K968" s="3"/>
      <c r="N968" s="6">
        <f>IF(Tabela5[[#This Row],[Dim_Cenario'[Nome Cenario']]]=Tabela5[[#Headers],[INIC Atual]],Tabela5[[#This Row],['[Valores_cenario']]],0)</f>
        <v>72439.73</v>
      </c>
      <c r="O968" s="6">
        <f>IF(Tabela5[[#This Row],[Dim_Cenario'[Nome Cenario']]]=Tabela5[[#Headers],[Revisado]],Tabela5[[#This Row],['[Valores_cenario']]],0)</f>
        <v>0</v>
      </c>
      <c r="P968" s="6">
        <f>IF(Tabela5[[#This Row],[Dim_Cenario'[Nome Cenario']]]=Tabela5[[#Headers],[Realizado]],Tabela5[[#This Row],['[Valores_cenario']]],0)</f>
        <v>0</v>
      </c>
    </row>
    <row r="969" hidden="1" spans="1:16">
      <c r="A969" t="s">
        <v>17</v>
      </c>
      <c r="B969" t="s">
        <v>18</v>
      </c>
      <c r="C969" t="s">
        <v>37</v>
      </c>
      <c r="D969" t="s">
        <v>20</v>
      </c>
      <c r="E969">
        <v>2027</v>
      </c>
      <c r="F969" t="s">
        <v>30</v>
      </c>
      <c r="G969" t="s">
        <v>31</v>
      </c>
      <c r="H969">
        <v>8</v>
      </c>
      <c r="I969">
        <v>40055.15</v>
      </c>
      <c r="J969" t="s">
        <v>33</v>
      </c>
      <c r="K969" s="3"/>
      <c r="N969" s="6">
        <f>IF(Tabela5[[#This Row],[Dim_Cenario'[Nome Cenario']]]=Tabela5[[#Headers],[INIC Atual]],Tabela5[[#This Row],['[Valores_cenario']]],0)</f>
        <v>40055.15</v>
      </c>
      <c r="O969" s="6">
        <f>IF(Tabela5[[#This Row],[Dim_Cenario'[Nome Cenario']]]=Tabela5[[#Headers],[Revisado]],Tabela5[[#This Row],['[Valores_cenario']]],0)</f>
        <v>0</v>
      </c>
      <c r="P969" s="6">
        <f>IF(Tabela5[[#This Row],[Dim_Cenario'[Nome Cenario']]]=Tabela5[[#Headers],[Realizado]],Tabela5[[#This Row],['[Valores_cenario']]],0)</f>
        <v>0</v>
      </c>
    </row>
    <row r="970" hidden="1" spans="1:16">
      <c r="A970" t="s">
        <v>17</v>
      </c>
      <c r="B970" t="s">
        <v>18</v>
      </c>
      <c r="C970" t="s">
        <v>37</v>
      </c>
      <c r="D970" t="s">
        <v>20</v>
      </c>
      <c r="E970">
        <v>2027</v>
      </c>
      <c r="F970" t="s">
        <v>30</v>
      </c>
      <c r="G970" t="s">
        <v>41</v>
      </c>
      <c r="H970">
        <v>9</v>
      </c>
      <c r="I970">
        <v>40055.15</v>
      </c>
      <c r="J970" t="s">
        <v>33</v>
      </c>
      <c r="K970" s="3"/>
      <c r="N970" s="6">
        <f>IF(Tabela5[[#This Row],[Dim_Cenario'[Nome Cenario']]]=Tabela5[[#Headers],[INIC Atual]],Tabela5[[#This Row],['[Valores_cenario']]],0)</f>
        <v>40055.15</v>
      </c>
      <c r="O970" s="6">
        <f>IF(Tabela5[[#This Row],[Dim_Cenario'[Nome Cenario']]]=Tabela5[[#Headers],[Revisado]],Tabela5[[#This Row],['[Valores_cenario']]],0)</f>
        <v>0</v>
      </c>
      <c r="P970" s="6">
        <f>IF(Tabela5[[#This Row],[Dim_Cenario'[Nome Cenario']]]=Tabela5[[#Headers],[Realizado]],Tabela5[[#This Row],['[Valores_cenario']]],0)</f>
        <v>0</v>
      </c>
    </row>
    <row r="971" hidden="1" spans="1:16">
      <c r="A971" t="s">
        <v>17</v>
      </c>
      <c r="B971" t="s">
        <v>18</v>
      </c>
      <c r="C971" t="s">
        <v>37</v>
      </c>
      <c r="D971" t="s">
        <v>20</v>
      </c>
      <c r="E971">
        <v>2027</v>
      </c>
      <c r="F971" t="s">
        <v>21</v>
      </c>
      <c r="G971" t="s">
        <v>22</v>
      </c>
      <c r="H971">
        <v>10</v>
      </c>
      <c r="I971">
        <v>40055.15</v>
      </c>
      <c r="J971" t="s">
        <v>33</v>
      </c>
      <c r="K971" s="3"/>
      <c r="N971" s="6">
        <f>IF(Tabela5[[#This Row],[Dim_Cenario'[Nome Cenario']]]=Tabela5[[#Headers],[INIC Atual]],Tabela5[[#This Row],['[Valores_cenario']]],0)</f>
        <v>40055.15</v>
      </c>
      <c r="O971" s="6">
        <f>IF(Tabela5[[#This Row],[Dim_Cenario'[Nome Cenario']]]=Tabela5[[#Headers],[Revisado]],Tabela5[[#This Row],['[Valores_cenario']]],0)</f>
        <v>0</v>
      </c>
      <c r="P971" s="6">
        <f>IF(Tabela5[[#This Row],[Dim_Cenario'[Nome Cenario']]]=Tabela5[[#Headers],[Realizado]],Tabela5[[#This Row],['[Valores_cenario']]],0)</f>
        <v>0</v>
      </c>
    </row>
    <row r="972" hidden="1" spans="1:16">
      <c r="A972" t="s">
        <v>17</v>
      </c>
      <c r="B972" t="s">
        <v>18</v>
      </c>
      <c r="C972" t="s">
        <v>37</v>
      </c>
      <c r="D972" t="s">
        <v>20</v>
      </c>
      <c r="E972">
        <v>2027</v>
      </c>
      <c r="F972" t="s">
        <v>21</v>
      </c>
      <c r="G972" t="s">
        <v>24</v>
      </c>
      <c r="H972">
        <v>11</v>
      </c>
      <c r="I972">
        <v>40055.15</v>
      </c>
      <c r="J972" t="s">
        <v>33</v>
      </c>
      <c r="K972" s="3"/>
      <c r="N972" s="6">
        <f>IF(Tabela5[[#This Row],[Dim_Cenario'[Nome Cenario']]]=Tabela5[[#Headers],[INIC Atual]],Tabela5[[#This Row],['[Valores_cenario']]],0)</f>
        <v>40055.15</v>
      </c>
      <c r="O972" s="6">
        <f>IF(Tabela5[[#This Row],[Dim_Cenario'[Nome Cenario']]]=Tabela5[[#Headers],[Revisado]],Tabela5[[#This Row],['[Valores_cenario']]],0)</f>
        <v>0</v>
      </c>
      <c r="P972" s="6">
        <f>IF(Tabela5[[#This Row],[Dim_Cenario'[Nome Cenario']]]=Tabela5[[#Headers],[Realizado]],Tabela5[[#This Row],['[Valores_cenario']]],0)</f>
        <v>0</v>
      </c>
    </row>
    <row r="973" hidden="1" spans="1:16">
      <c r="A973" t="s">
        <v>17</v>
      </c>
      <c r="B973" t="s">
        <v>18</v>
      </c>
      <c r="C973" t="s">
        <v>37</v>
      </c>
      <c r="D973" t="s">
        <v>20</v>
      </c>
      <c r="E973">
        <v>2027</v>
      </c>
      <c r="F973" t="s">
        <v>21</v>
      </c>
      <c r="G973" t="s">
        <v>32</v>
      </c>
      <c r="H973">
        <v>12</v>
      </c>
      <c r="I973">
        <v>40055.15</v>
      </c>
      <c r="J973" t="s">
        <v>33</v>
      </c>
      <c r="K973" s="3"/>
      <c r="N973" s="6">
        <f>IF(Tabela5[[#This Row],[Dim_Cenario'[Nome Cenario']]]=Tabela5[[#Headers],[INIC Atual]],Tabela5[[#This Row],['[Valores_cenario']]],0)</f>
        <v>40055.15</v>
      </c>
      <c r="O973" s="6">
        <f>IF(Tabela5[[#This Row],[Dim_Cenario'[Nome Cenario']]]=Tabela5[[#Headers],[Revisado]],Tabela5[[#This Row],['[Valores_cenario']]],0)</f>
        <v>0</v>
      </c>
      <c r="P973" s="6">
        <f>IF(Tabela5[[#This Row],[Dim_Cenario'[Nome Cenario']]]=Tabela5[[#Headers],[Realizado]],Tabela5[[#This Row],['[Valores_cenario']]],0)</f>
        <v>0</v>
      </c>
    </row>
    <row r="974" hidden="1" spans="1:16">
      <c r="A974" t="s">
        <v>17</v>
      </c>
      <c r="B974" t="s">
        <v>18</v>
      </c>
      <c r="C974" t="s">
        <v>37</v>
      </c>
      <c r="D974" t="s">
        <v>14</v>
      </c>
      <c r="E974">
        <v>2027</v>
      </c>
      <c r="F974" t="s">
        <v>25</v>
      </c>
      <c r="G974" t="s">
        <v>35</v>
      </c>
      <c r="H974">
        <v>1</v>
      </c>
      <c r="I974">
        <v>40055.15</v>
      </c>
      <c r="J974" t="s">
        <v>33</v>
      </c>
      <c r="K974" s="3"/>
      <c r="N974" s="6">
        <f>IF(Tabela5[[#This Row],[Dim_Cenario'[Nome Cenario']]]=Tabela5[[#Headers],[INIC Atual]],Tabela5[[#This Row],['[Valores_cenario']]],0)</f>
        <v>0</v>
      </c>
      <c r="O974" s="6">
        <f>IF(Tabela5[[#This Row],[Dim_Cenario'[Nome Cenario']]]=Tabela5[[#Headers],[Revisado]],Tabela5[[#This Row],['[Valores_cenario']]],0)</f>
        <v>40055.15</v>
      </c>
      <c r="P974" s="6">
        <f>IF(Tabela5[[#This Row],[Dim_Cenario'[Nome Cenario']]]=Tabela5[[#Headers],[Realizado]],Tabela5[[#This Row],['[Valores_cenario']]],0)</f>
        <v>0</v>
      </c>
    </row>
    <row r="975" hidden="1" spans="1:16">
      <c r="A975" t="s">
        <v>17</v>
      </c>
      <c r="B975" t="s">
        <v>18</v>
      </c>
      <c r="C975" t="s">
        <v>37</v>
      </c>
      <c r="D975" t="s">
        <v>14</v>
      </c>
      <c r="E975">
        <v>2027</v>
      </c>
      <c r="F975" t="s">
        <v>25</v>
      </c>
      <c r="G975" t="s">
        <v>26</v>
      </c>
      <c r="H975">
        <v>2</v>
      </c>
      <c r="I975">
        <v>40055.15</v>
      </c>
      <c r="J975" t="s">
        <v>33</v>
      </c>
      <c r="K975" s="3"/>
      <c r="N975" s="6">
        <f>IF(Tabela5[[#This Row],[Dim_Cenario'[Nome Cenario']]]=Tabela5[[#Headers],[INIC Atual]],Tabela5[[#This Row],['[Valores_cenario']]],0)</f>
        <v>0</v>
      </c>
      <c r="O975" s="6">
        <f>IF(Tabela5[[#This Row],[Dim_Cenario'[Nome Cenario']]]=Tabela5[[#Headers],[Revisado]],Tabela5[[#This Row],['[Valores_cenario']]],0)</f>
        <v>40055.15</v>
      </c>
      <c r="P975" s="6">
        <f>IF(Tabela5[[#This Row],[Dim_Cenario'[Nome Cenario']]]=Tabela5[[#Headers],[Realizado]],Tabela5[[#This Row],['[Valores_cenario']]],0)</f>
        <v>0</v>
      </c>
    </row>
    <row r="976" hidden="1" spans="1:16">
      <c r="A976" t="s">
        <v>17</v>
      </c>
      <c r="B976" t="s">
        <v>18</v>
      </c>
      <c r="C976" t="s">
        <v>37</v>
      </c>
      <c r="D976" t="s">
        <v>14</v>
      </c>
      <c r="E976">
        <v>2027</v>
      </c>
      <c r="F976" t="s">
        <v>25</v>
      </c>
      <c r="G976" t="s">
        <v>38</v>
      </c>
      <c r="H976">
        <v>3</v>
      </c>
      <c r="I976">
        <v>40055.15</v>
      </c>
      <c r="J976" t="s">
        <v>33</v>
      </c>
      <c r="K976" s="3"/>
      <c r="N976" s="6">
        <f>IF(Tabela5[[#This Row],[Dim_Cenario'[Nome Cenario']]]=Tabela5[[#Headers],[INIC Atual]],Tabela5[[#This Row],['[Valores_cenario']]],0)</f>
        <v>0</v>
      </c>
      <c r="O976" s="6">
        <f>IF(Tabela5[[#This Row],[Dim_Cenario'[Nome Cenario']]]=Tabela5[[#Headers],[Revisado]],Tabela5[[#This Row],['[Valores_cenario']]],0)</f>
        <v>40055.15</v>
      </c>
      <c r="P976" s="6">
        <f>IF(Tabela5[[#This Row],[Dim_Cenario'[Nome Cenario']]]=Tabela5[[#Headers],[Realizado]],Tabela5[[#This Row],['[Valores_cenario']]],0)</f>
        <v>0</v>
      </c>
    </row>
    <row r="977" hidden="1" spans="1:16">
      <c r="A977" t="s">
        <v>17</v>
      </c>
      <c r="B977" t="s">
        <v>18</v>
      </c>
      <c r="C977" t="s">
        <v>37</v>
      </c>
      <c r="D977" t="s">
        <v>14</v>
      </c>
      <c r="E977">
        <v>2027</v>
      </c>
      <c r="F977" t="s">
        <v>27</v>
      </c>
      <c r="G977" t="s">
        <v>28</v>
      </c>
      <c r="H977">
        <v>4</v>
      </c>
      <c r="I977">
        <v>40055.15</v>
      </c>
      <c r="J977" t="s">
        <v>33</v>
      </c>
      <c r="K977" s="3"/>
      <c r="N977" s="6">
        <f>IF(Tabela5[[#This Row],[Dim_Cenario'[Nome Cenario']]]=Tabela5[[#Headers],[INIC Atual]],Tabela5[[#This Row],['[Valores_cenario']]],0)</f>
        <v>0</v>
      </c>
      <c r="O977" s="6">
        <f>IF(Tabela5[[#This Row],[Dim_Cenario'[Nome Cenario']]]=Tabela5[[#Headers],[Revisado]],Tabela5[[#This Row],['[Valores_cenario']]],0)</f>
        <v>40055.15</v>
      </c>
      <c r="P977" s="6">
        <f>IF(Tabela5[[#This Row],[Dim_Cenario'[Nome Cenario']]]=Tabela5[[#Headers],[Realizado]],Tabela5[[#This Row],['[Valores_cenario']]],0)</f>
        <v>0</v>
      </c>
    </row>
    <row r="978" hidden="1" spans="1:16">
      <c r="A978" t="s">
        <v>17</v>
      </c>
      <c r="B978" t="s">
        <v>18</v>
      </c>
      <c r="C978" t="s">
        <v>37</v>
      </c>
      <c r="D978" t="s">
        <v>14</v>
      </c>
      <c r="E978">
        <v>2027</v>
      </c>
      <c r="F978" t="s">
        <v>27</v>
      </c>
      <c r="G978" t="s">
        <v>39</v>
      </c>
      <c r="H978">
        <v>5</v>
      </c>
      <c r="I978">
        <v>40055.15</v>
      </c>
      <c r="J978" t="s">
        <v>33</v>
      </c>
      <c r="K978" s="3"/>
      <c r="N978" s="6">
        <f>IF(Tabela5[[#This Row],[Dim_Cenario'[Nome Cenario']]]=Tabela5[[#Headers],[INIC Atual]],Tabela5[[#This Row],['[Valores_cenario']]],0)</f>
        <v>0</v>
      </c>
      <c r="O978" s="6">
        <f>IF(Tabela5[[#This Row],[Dim_Cenario'[Nome Cenario']]]=Tabela5[[#Headers],[Revisado]],Tabela5[[#This Row],['[Valores_cenario']]],0)</f>
        <v>40055.15</v>
      </c>
      <c r="P978" s="6">
        <f>IF(Tabela5[[#This Row],[Dim_Cenario'[Nome Cenario']]]=Tabela5[[#Headers],[Realizado]],Tabela5[[#This Row],['[Valores_cenario']]],0)</f>
        <v>0</v>
      </c>
    </row>
    <row r="979" hidden="1" spans="1:16">
      <c r="A979" t="s">
        <v>17</v>
      </c>
      <c r="B979" t="s">
        <v>18</v>
      </c>
      <c r="C979" t="s">
        <v>37</v>
      </c>
      <c r="D979" t="s">
        <v>14</v>
      </c>
      <c r="E979">
        <v>2027</v>
      </c>
      <c r="F979" t="s">
        <v>27</v>
      </c>
      <c r="G979" t="s">
        <v>29</v>
      </c>
      <c r="H979">
        <v>6</v>
      </c>
      <c r="I979">
        <v>40055.15</v>
      </c>
      <c r="J979" t="s">
        <v>33</v>
      </c>
      <c r="K979" s="3"/>
      <c r="N979" s="6">
        <f>IF(Tabela5[[#This Row],[Dim_Cenario'[Nome Cenario']]]=Tabela5[[#Headers],[INIC Atual]],Tabela5[[#This Row],['[Valores_cenario']]],0)</f>
        <v>0</v>
      </c>
      <c r="O979" s="6">
        <f>IF(Tabela5[[#This Row],[Dim_Cenario'[Nome Cenario']]]=Tabela5[[#Headers],[Revisado]],Tabela5[[#This Row],['[Valores_cenario']]],0)</f>
        <v>40055.15</v>
      </c>
      <c r="P979" s="6">
        <f>IF(Tabela5[[#This Row],[Dim_Cenario'[Nome Cenario']]]=Tabela5[[#Headers],[Realizado]],Tabela5[[#This Row],['[Valores_cenario']]],0)</f>
        <v>0</v>
      </c>
    </row>
    <row r="980" hidden="1" spans="1:16">
      <c r="A980" t="s">
        <v>17</v>
      </c>
      <c r="B980" t="s">
        <v>18</v>
      </c>
      <c r="C980" t="s">
        <v>37</v>
      </c>
      <c r="D980" t="s">
        <v>14</v>
      </c>
      <c r="E980">
        <v>2027</v>
      </c>
      <c r="F980" t="s">
        <v>30</v>
      </c>
      <c r="G980" t="s">
        <v>40</v>
      </c>
      <c r="H980">
        <v>7</v>
      </c>
      <c r="I980">
        <v>72439.73</v>
      </c>
      <c r="J980" t="s">
        <v>33</v>
      </c>
      <c r="K980" s="3"/>
      <c r="N980" s="6">
        <f>IF(Tabela5[[#This Row],[Dim_Cenario'[Nome Cenario']]]=Tabela5[[#Headers],[INIC Atual]],Tabela5[[#This Row],['[Valores_cenario']]],0)</f>
        <v>0</v>
      </c>
      <c r="O980" s="6">
        <f>IF(Tabela5[[#This Row],[Dim_Cenario'[Nome Cenario']]]=Tabela5[[#Headers],[Revisado]],Tabela5[[#This Row],['[Valores_cenario']]],0)</f>
        <v>72439.73</v>
      </c>
      <c r="P980" s="6">
        <f>IF(Tabela5[[#This Row],[Dim_Cenario'[Nome Cenario']]]=Tabela5[[#Headers],[Realizado]],Tabela5[[#This Row],['[Valores_cenario']]],0)</f>
        <v>0</v>
      </c>
    </row>
    <row r="981" hidden="1" spans="1:16">
      <c r="A981" t="s">
        <v>17</v>
      </c>
      <c r="B981" t="s">
        <v>18</v>
      </c>
      <c r="C981" t="s">
        <v>37</v>
      </c>
      <c r="D981" t="s">
        <v>14</v>
      </c>
      <c r="E981">
        <v>2027</v>
      </c>
      <c r="F981" t="s">
        <v>30</v>
      </c>
      <c r="G981" t="s">
        <v>31</v>
      </c>
      <c r="H981">
        <v>8</v>
      </c>
      <c r="I981">
        <v>40055.15</v>
      </c>
      <c r="J981" t="s">
        <v>33</v>
      </c>
      <c r="K981" s="3"/>
      <c r="N981" s="6">
        <f>IF(Tabela5[[#This Row],[Dim_Cenario'[Nome Cenario']]]=Tabela5[[#Headers],[INIC Atual]],Tabela5[[#This Row],['[Valores_cenario']]],0)</f>
        <v>0</v>
      </c>
      <c r="O981" s="6">
        <f>IF(Tabela5[[#This Row],[Dim_Cenario'[Nome Cenario']]]=Tabela5[[#Headers],[Revisado]],Tabela5[[#This Row],['[Valores_cenario']]],0)</f>
        <v>40055.15</v>
      </c>
      <c r="P981" s="6">
        <f>IF(Tabela5[[#This Row],[Dim_Cenario'[Nome Cenario']]]=Tabela5[[#Headers],[Realizado]],Tabela5[[#This Row],['[Valores_cenario']]],0)</f>
        <v>0</v>
      </c>
    </row>
    <row r="982" hidden="1" spans="1:16">
      <c r="A982" t="s">
        <v>17</v>
      </c>
      <c r="B982" t="s">
        <v>18</v>
      </c>
      <c r="C982" t="s">
        <v>37</v>
      </c>
      <c r="D982" t="s">
        <v>14</v>
      </c>
      <c r="E982">
        <v>2027</v>
      </c>
      <c r="F982" t="s">
        <v>30</v>
      </c>
      <c r="G982" t="s">
        <v>41</v>
      </c>
      <c r="H982">
        <v>9</v>
      </c>
      <c r="I982">
        <v>40055.15</v>
      </c>
      <c r="J982" t="s">
        <v>33</v>
      </c>
      <c r="K982" s="3"/>
      <c r="N982" s="6">
        <f>IF(Tabela5[[#This Row],[Dim_Cenario'[Nome Cenario']]]=Tabela5[[#Headers],[INIC Atual]],Tabela5[[#This Row],['[Valores_cenario']]],0)</f>
        <v>0</v>
      </c>
      <c r="O982" s="6">
        <f>IF(Tabela5[[#This Row],[Dim_Cenario'[Nome Cenario']]]=Tabela5[[#Headers],[Revisado]],Tabela5[[#This Row],['[Valores_cenario']]],0)</f>
        <v>40055.15</v>
      </c>
      <c r="P982" s="6">
        <f>IF(Tabela5[[#This Row],[Dim_Cenario'[Nome Cenario']]]=Tabela5[[#Headers],[Realizado]],Tabela5[[#This Row],['[Valores_cenario']]],0)</f>
        <v>0</v>
      </c>
    </row>
    <row r="983" hidden="1" spans="1:16">
      <c r="A983" t="s">
        <v>17</v>
      </c>
      <c r="B983" t="s">
        <v>18</v>
      </c>
      <c r="C983" t="s">
        <v>37</v>
      </c>
      <c r="D983" t="s">
        <v>14</v>
      </c>
      <c r="E983">
        <v>2027</v>
      </c>
      <c r="F983" t="s">
        <v>21</v>
      </c>
      <c r="G983" t="s">
        <v>22</v>
      </c>
      <c r="H983">
        <v>10</v>
      </c>
      <c r="I983">
        <v>40055.15</v>
      </c>
      <c r="J983" t="s">
        <v>33</v>
      </c>
      <c r="K983" s="3"/>
      <c r="N983" s="6">
        <f>IF(Tabela5[[#This Row],[Dim_Cenario'[Nome Cenario']]]=Tabela5[[#Headers],[INIC Atual]],Tabela5[[#This Row],['[Valores_cenario']]],0)</f>
        <v>0</v>
      </c>
      <c r="O983" s="6">
        <f>IF(Tabela5[[#This Row],[Dim_Cenario'[Nome Cenario']]]=Tabela5[[#Headers],[Revisado]],Tabela5[[#This Row],['[Valores_cenario']]],0)</f>
        <v>40055.15</v>
      </c>
      <c r="P983" s="6">
        <f>IF(Tabela5[[#This Row],[Dim_Cenario'[Nome Cenario']]]=Tabela5[[#Headers],[Realizado]],Tabela5[[#This Row],['[Valores_cenario']]],0)</f>
        <v>0</v>
      </c>
    </row>
    <row r="984" hidden="1" spans="1:16">
      <c r="A984" t="s">
        <v>17</v>
      </c>
      <c r="B984" t="s">
        <v>18</v>
      </c>
      <c r="C984" t="s">
        <v>37</v>
      </c>
      <c r="D984" t="s">
        <v>14</v>
      </c>
      <c r="E984">
        <v>2027</v>
      </c>
      <c r="F984" t="s">
        <v>21</v>
      </c>
      <c r="G984" t="s">
        <v>24</v>
      </c>
      <c r="H984">
        <v>11</v>
      </c>
      <c r="I984">
        <v>40055.15</v>
      </c>
      <c r="J984" t="s">
        <v>33</v>
      </c>
      <c r="K984" s="3"/>
      <c r="N984" s="6">
        <f>IF(Tabela5[[#This Row],[Dim_Cenario'[Nome Cenario']]]=Tabela5[[#Headers],[INIC Atual]],Tabela5[[#This Row],['[Valores_cenario']]],0)</f>
        <v>0</v>
      </c>
      <c r="O984" s="6">
        <f>IF(Tabela5[[#This Row],[Dim_Cenario'[Nome Cenario']]]=Tabela5[[#Headers],[Revisado]],Tabela5[[#This Row],['[Valores_cenario']]],0)</f>
        <v>40055.15</v>
      </c>
      <c r="P984" s="6">
        <f>IF(Tabela5[[#This Row],[Dim_Cenario'[Nome Cenario']]]=Tabela5[[#Headers],[Realizado]],Tabela5[[#This Row],['[Valores_cenario']]],0)</f>
        <v>0</v>
      </c>
    </row>
    <row r="985" hidden="1" spans="1:16">
      <c r="A985" t="s">
        <v>17</v>
      </c>
      <c r="B985" t="s">
        <v>18</v>
      </c>
      <c r="C985" t="s">
        <v>37</v>
      </c>
      <c r="D985" t="s">
        <v>14</v>
      </c>
      <c r="E985">
        <v>2027</v>
      </c>
      <c r="F985" t="s">
        <v>21</v>
      </c>
      <c r="G985" t="s">
        <v>32</v>
      </c>
      <c r="H985">
        <v>12</v>
      </c>
      <c r="I985">
        <v>40055.15</v>
      </c>
      <c r="J985" t="s">
        <v>33</v>
      </c>
      <c r="K985" s="3"/>
      <c r="N985" s="6">
        <f>IF(Tabela5[[#This Row],[Dim_Cenario'[Nome Cenario']]]=Tabela5[[#Headers],[INIC Atual]],Tabela5[[#This Row],['[Valores_cenario']]],0)</f>
        <v>0</v>
      </c>
      <c r="O985" s="6">
        <f>IF(Tabela5[[#This Row],[Dim_Cenario'[Nome Cenario']]]=Tabela5[[#Headers],[Revisado]],Tabela5[[#This Row],['[Valores_cenario']]],0)</f>
        <v>40055.15</v>
      </c>
      <c r="P985" s="6">
        <f>IF(Tabela5[[#This Row],[Dim_Cenario'[Nome Cenario']]]=Tabela5[[#Headers],[Realizado]],Tabela5[[#This Row],['[Valores_cenario']]],0)</f>
        <v>0</v>
      </c>
    </row>
  </sheetData>
  <pageMargins left="0.511811024" right="0.511811024" top="0.787401575" bottom="0.787401575" header="0.31496062" footer="0.31496062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BaseConsolidada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Gomes de Melo Alves</dc:creator>
  <cp:lastModifiedBy>pedrov12</cp:lastModifiedBy>
  <dcterms:created xsi:type="dcterms:W3CDTF">2026-05-18T10:34:00Z</dcterms:created>
  <dcterms:modified xsi:type="dcterms:W3CDTF">2026-05-18T11:26:54Z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